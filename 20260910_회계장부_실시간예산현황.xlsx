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00. 더연구소중심\00. 제5기_의장단\회계장부 공유폴더\"/>
    </mc:Choice>
  </mc:AlternateContent>
  <xr:revisionPtr revIDLastSave="0" documentId="8_{CD66A43B-2038-4D2F-900C-A726875DCA6E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1. 5기추진일정" sheetId="1" r:id="rId1"/>
    <sheet name="2. 5기_예산목간" sheetId="2" r:id="rId2"/>
    <sheet name="3. 5기 수입지출장부" sheetId="3" r:id="rId3"/>
    <sheet name="4. 5기 수입상세 및 인원변동" sheetId="4" r:id="rId4"/>
    <sheet name="5. 대시보드" sheetId="5" r:id="rId5"/>
  </sheets>
  <definedNames>
    <definedName name="ReceiptCategoryList">#REF!</definedName>
    <definedName name="가예산">Table_9[가예산]</definedName>
    <definedName name="교육선전">Table_3[교육선전]</definedName>
    <definedName name="대외협력">Table_4[대외협력]</definedName>
    <definedName name="선대본">'3. 5기 수입지출장부'!$F$178:$F$181</definedName>
    <definedName name="수입">Table_8[수입]</definedName>
    <definedName name="정책기획">Table_5[정책기획]</definedName>
    <definedName name="조직강화">Table_6[조직강화]</definedName>
    <definedName name="총무">Table_2[총무]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7" i="3" l="1"/>
  <c r="G145" i="3"/>
  <c r="G146" i="3" s="1"/>
  <c r="G144" i="3"/>
  <c r="G143" i="3"/>
  <c r="D28" i="5"/>
  <c r="D27" i="5"/>
  <c r="D26" i="5"/>
  <c r="D25" i="5"/>
  <c r="D22" i="5"/>
  <c r="D21" i="5"/>
  <c r="D19" i="5"/>
  <c r="D18" i="5"/>
  <c r="D17" i="5"/>
  <c r="D14" i="5"/>
  <c r="D11" i="5"/>
  <c r="G22" i="4"/>
  <c r="D13" i="2" s="1"/>
  <c r="G20" i="4"/>
  <c r="D11" i="2" s="1"/>
  <c r="F13" i="4"/>
  <c r="E13" i="4"/>
  <c r="G13" i="4" s="1"/>
  <c r="F12" i="4"/>
  <c r="E12" i="4"/>
  <c r="G12" i="4" s="1"/>
  <c r="F11" i="4"/>
  <c r="E11" i="4"/>
  <c r="G11" i="4" s="1"/>
  <c r="F10" i="4"/>
  <c r="E10" i="4"/>
  <c r="G10" i="4" s="1"/>
  <c r="F9" i="4"/>
  <c r="E9" i="4"/>
  <c r="G9" i="4" s="1"/>
  <c r="F8" i="4"/>
  <c r="E8" i="4"/>
  <c r="G8" i="4" s="1"/>
  <c r="F7" i="4"/>
  <c r="E7" i="4"/>
  <c r="G7" i="4" s="1"/>
  <c r="F6" i="4"/>
  <c r="F18" i="4" s="1"/>
  <c r="D8" i="2" s="1"/>
  <c r="E6" i="4"/>
  <c r="D54" i="2"/>
  <c r="D50" i="2"/>
  <c r="D49" i="2"/>
  <c r="D48" i="2"/>
  <c r="D46" i="2"/>
  <c r="D43" i="2"/>
  <c r="D42" i="2"/>
  <c r="D41" i="2"/>
  <c r="D37" i="2"/>
  <c r="D35" i="2"/>
  <c r="D30" i="2"/>
  <c r="D29" i="2"/>
  <c r="D27" i="2"/>
  <c r="D25" i="2"/>
  <c r="D23" i="2"/>
  <c r="D16" i="2"/>
  <c r="D9" i="2"/>
  <c r="P47" i="1"/>
  <c r="O47" i="1"/>
  <c r="N47" i="1"/>
  <c r="M47" i="1"/>
  <c r="L47" i="1"/>
  <c r="K47" i="1"/>
  <c r="J47" i="1"/>
  <c r="I47" i="1"/>
  <c r="H47" i="1"/>
  <c r="G47" i="1"/>
  <c r="F47" i="1"/>
  <c r="E47" i="1"/>
  <c r="Q46" i="1"/>
  <c r="P45" i="1"/>
  <c r="O45" i="1"/>
  <c r="N45" i="1"/>
  <c r="M45" i="1"/>
  <c r="L45" i="1"/>
  <c r="K45" i="1"/>
  <c r="J45" i="1"/>
  <c r="I45" i="1"/>
  <c r="H45" i="1"/>
  <c r="G45" i="1"/>
  <c r="F45" i="1"/>
  <c r="E45" i="1"/>
  <c r="P43" i="1"/>
  <c r="O43" i="1"/>
  <c r="N43" i="1"/>
  <c r="M43" i="1"/>
  <c r="L43" i="1"/>
  <c r="K43" i="1"/>
  <c r="J43" i="1"/>
  <c r="I43" i="1"/>
  <c r="H43" i="1"/>
  <c r="G43" i="1"/>
  <c r="F43" i="1"/>
  <c r="E43" i="1"/>
  <c r="Q42" i="1"/>
  <c r="S42" i="1" s="1"/>
  <c r="B42" i="1"/>
  <c r="P41" i="1"/>
  <c r="O41" i="1"/>
  <c r="N41" i="1"/>
  <c r="M41" i="1"/>
  <c r="L41" i="1"/>
  <c r="K41" i="1"/>
  <c r="J41" i="1"/>
  <c r="I41" i="1"/>
  <c r="H41" i="1"/>
  <c r="G41" i="1"/>
  <c r="F41" i="1"/>
  <c r="E41" i="1"/>
  <c r="Q40" i="1"/>
  <c r="P39" i="1"/>
  <c r="O39" i="1"/>
  <c r="N39" i="1"/>
  <c r="M39" i="1"/>
  <c r="L39" i="1"/>
  <c r="K39" i="1"/>
  <c r="J39" i="1"/>
  <c r="I39" i="1"/>
  <c r="H39" i="1"/>
  <c r="G39" i="1"/>
  <c r="F39" i="1"/>
  <c r="E39" i="1"/>
  <c r="Q38" i="1"/>
  <c r="P37" i="1"/>
  <c r="O37" i="1"/>
  <c r="N37" i="1"/>
  <c r="M37" i="1"/>
  <c r="L37" i="1"/>
  <c r="K37" i="1"/>
  <c r="J37" i="1"/>
  <c r="I37" i="1"/>
  <c r="H37" i="1"/>
  <c r="G37" i="1"/>
  <c r="F37" i="1"/>
  <c r="E37" i="1"/>
  <c r="Q36" i="1"/>
  <c r="P35" i="1"/>
  <c r="O35" i="1"/>
  <c r="N35" i="1"/>
  <c r="M35" i="1"/>
  <c r="L35" i="1"/>
  <c r="K35" i="1"/>
  <c r="J35" i="1"/>
  <c r="I35" i="1"/>
  <c r="H35" i="1"/>
  <c r="G35" i="1"/>
  <c r="F35" i="1"/>
  <c r="E35" i="1"/>
  <c r="Q34" i="1"/>
  <c r="B34" i="1"/>
  <c r="P33" i="1"/>
  <c r="O33" i="1"/>
  <c r="N33" i="1"/>
  <c r="M33" i="1"/>
  <c r="L33" i="1"/>
  <c r="K33" i="1"/>
  <c r="J33" i="1"/>
  <c r="I33" i="1"/>
  <c r="H33" i="1"/>
  <c r="G33" i="1"/>
  <c r="F33" i="1"/>
  <c r="E33" i="1"/>
  <c r="Q32" i="1"/>
  <c r="P31" i="1"/>
  <c r="O31" i="1"/>
  <c r="N31" i="1"/>
  <c r="M31" i="1"/>
  <c r="L31" i="1"/>
  <c r="K31" i="1"/>
  <c r="J31" i="1"/>
  <c r="I31" i="1"/>
  <c r="H31" i="1"/>
  <c r="G31" i="1"/>
  <c r="F31" i="1"/>
  <c r="E31" i="1"/>
  <c r="Q30" i="1"/>
  <c r="P29" i="1"/>
  <c r="O29" i="1"/>
  <c r="N29" i="1"/>
  <c r="M29" i="1"/>
  <c r="L29" i="1"/>
  <c r="K29" i="1"/>
  <c r="J29" i="1"/>
  <c r="I29" i="1"/>
  <c r="H29" i="1"/>
  <c r="G29" i="1"/>
  <c r="F29" i="1"/>
  <c r="E29" i="1"/>
  <c r="Q28" i="1"/>
  <c r="P27" i="1"/>
  <c r="O27" i="1"/>
  <c r="N27" i="1"/>
  <c r="M27" i="1"/>
  <c r="L27" i="1"/>
  <c r="K27" i="1"/>
  <c r="J27" i="1"/>
  <c r="I27" i="1"/>
  <c r="H27" i="1"/>
  <c r="G27" i="1"/>
  <c r="F27" i="1"/>
  <c r="E27" i="1"/>
  <c r="Q26" i="1"/>
  <c r="B26" i="1"/>
  <c r="P25" i="1"/>
  <c r="O25" i="1"/>
  <c r="N25" i="1"/>
  <c r="M25" i="1"/>
  <c r="L25" i="1"/>
  <c r="K25" i="1"/>
  <c r="J25" i="1"/>
  <c r="I25" i="1"/>
  <c r="H25" i="1"/>
  <c r="G25" i="1"/>
  <c r="F25" i="1"/>
  <c r="E25" i="1"/>
  <c r="Q24" i="1"/>
  <c r="P23" i="1"/>
  <c r="O23" i="1"/>
  <c r="N23" i="1"/>
  <c r="M23" i="1"/>
  <c r="L23" i="1"/>
  <c r="K23" i="1"/>
  <c r="J23" i="1"/>
  <c r="I23" i="1"/>
  <c r="H23" i="1"/>
  <c r="G23" i="1"/>
  <c r="F23" i="1"/>
  <c r="E23" i="1"/>
  <c r="P21" i="1"/>
  <c r="O21" i="1"/>
  <c r="N21" i="1"/>
  <c r="M21" i="1"/>
  <c r="L21" i="1"/>
  <c r="K21" i="1"/>
  <c r="J21" i="1"/>
  <c r="I21" i="1"/>
  <c r="H21" i="1"/>
  <c r="G21" i="1"/>
  <c r="F21" i="1"/>
  <c r="E21" i="1"/>
  <c r="Q20" i="1"/>
  <c r="AB7" i="1" s="1"/>
  <c r="P19" i="1"/>
  <c r="O19" i="1"/>
  <c r="N19" i="1"/>
  <c r="M19" i="1"/>
  <c r="L19" i="1"/>
  <c r="K19" i="1"/>
  <c r="J19" i="1"/>
  <c r="I19" i="1"/>
  <c r="H19" i="1"/>
  <c r="G19" i="1"/>
  <c r="F19" i="1"/>
  <c r="E19" i="1"/>
  <c r="Q18" i="1"/>
  <c r="AA7" i="1" s="1"/>
  <c r="P17" i="1"/>
  <c r="O17" i="1"/>
  <c r="N17" i="1"/>
  <c r="M17" i="1"/>
  <c r="L17" i="1"/>
  <c r="K17" i="1"/>
  <c r="J17" i="1"/>
  <c r="I17" i="1"/>
  <c r="H17" i="1"/>
  <c r="G17" i="1"/>
  <c r="F17" i="1"/>
  <c r="E17" i="1"/>
  <c r="Q16" i="1"/>
  <c r="Z7" i="1" s="1"/>
  <c r="P15" i="1"/>
  <c r="O15" i="1"/>
  <c r="N15" i="1"/>
  <c r="M15" i="1"/>
  <c r="L15" i="1"/>
  <c r="K15" i="1"/>
  <c r="J15" i="1"/>
  <c r="I15" i="1"/>
  <c r="H15" i="1"/>
  <c r="G15" i="1"/>
  <c r="F15" i="1"/>
  <c r="E15" i="1"/>
  <c r="Q14" i="1"/>
  <c r="Y7" i="1" s="1"/>
  <c r="P13" i="1"/>
  <c r="O13" i="1"/>
  <c r="N13" i="1"/>
  <c r="M13" i="1"/>
  <c r="L13" i="1"/>
  <c r="K13" i="1"/>
  <c r="J13" i="1"/>
  <c r="I13" i="1"/>
  <c r="H13" i="1"/>
  <c r="G13" i="1"/>
  <c r="F13" i="1"/>
  <c r="E13" i="1"/>
  <c r="Q12" i="1"/>
  <c r="P11" i="1"/>
  <c r="O11" i="1"/>
  <c r="N11" i="1"/>
  <c r="M11" i="1"/>
  <c r="L11" i="1"/>
  <c r="K11" i="1"/>
  <c r="J11" i="1"/>
  <c r="I11" i="1"/>
  <c r="H11" i="1"/>
  <c r="G11" i="1"/>
  <c r="F11" i="1"/>
  <c r="E11" i="1"/>
  <c r="Q10" i="1"/>
  <c r="B10" i="1"/>
  <c r="P9" i="1"/>
  <c r="O9" i="1"/>
  <c r="N9" i="1"/>
  <c r="M9" i="1"/>
  <c r="L9" i="1"/>
  <c r="K9" i="1"/>
  <c r="J9" i="1"/>
  <c r="I9" i="1"/>
  <c r="H9" i="1"/>
  <c r="G9" i="1"/>
  <c r="F9" i="1"/>
  <c r="E9" i="1"/>
  <c r="P7" i="1"/>
  <c r="O7" i="1"/>
  <c r="N7" i="1"/>
  <c r="M7" i="1"/>
  <c r="L7" i="1"/>
  <c r="K7" i="1"/>
  <c r="J7" i="1"/>
  <c r="I7" i="1"/>
  <c r="H7" i="1"/>
  <c r="G7" i="1"/>
  <c r="F7" i="1"/>
  <c r="E7" i="1"/>
  <c r="E210" i="3"/>
  <c r="D210" i="3"/>
  <c r="E209" i="3"/>
  <c r="E208" i="3"/>
  <c r="E207" i="3"/>
  <c r="E206" i="3"/>
  <c r="E205" i="3"/>
  <c r="D205" i="3"/>
  <c r="E204" i="3"/>
  <c r="D204" i="3"/>
  <c r="E203" i="3"/>
  <c r="E202" i="3"/>
  <c r="E201" i="3"/>
  <c r="D201" i="3"/>
  <c r="E200" i="3"/>
  <c r="E199" i="3"/>
  <c r="E198" i="3"/>
  <c r="E197" i="3"/>
  <c r="D197" i="3"/>
  <c r="E196" i="3"/>
  <c r="D196" i="3"/>
  <c r="E195" i="3"/>
  <c r="E194" i="3"/>
  <c r="D194" i="3"/>
  <c r="E193" i="3"/>
  <c r="D193" i="3"/>
  <c r="E192" i="3"/>
  <c r="G5" i="3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D5" i="5" l="1"/>
  <c r="K5" i="5" s="1"/>
  <c r="E18" i="4"/>
  <c r="D7" i="2" s="1"/>
  <c r="G6" i="4"/>
  <c r="G18" i="4" s="1"/>
  <c r="G24" i="4" s="1"/>
  <c r="D51" i="2"/>
  <c r="D44" i="2"/>
  <c r="D38" i="2"/>
  <c r="D33" i="2"/>
  <c r="D26" i="2"/>
  <c r="D24" i="2"/>
  <c r="D14" i="2"/>
  <c r="Q41" i="1"/>
  <c r="E29" i="5"/>
  <c r="F210" i="3"/>
  <c r="F29" i="5" s="1"/>
  <c r="D29" i="5"/>
  <c r="E28" i="5"/>
  <c r="G28" i="5" s="1"/>
  <c r="Q39" i="1"/>
  <c r="F209" i="3"/>
  <c r="F28" i="5" s="1"/>
  <c r="Q37" i="1"/>
  <c r="S36" i="1" s="1"/>
  <c r="F208" i="3"/>
  <c r="F27" i="5" s="1"/>
  <c r="E27" i="5"/>
  <c r="G27" i="5" s="1"/>
  <c r="Q35" i="1"/>
  <c r="S34" i="1" s="1"/>
  <c r="F207" i="3"/>
  <c r="F26" i="5" s="1"/>
  <c r="E26" i="5"/>
  <c r="G26" i="5" s="1"/>
  <c r="F206" i="3"/>
  <c r="F25" i="5" s="1"/>
  <c r="E25" i="5"/>
  <c r="G25" i="5" s="1"/>
  <c r="Q33" i="1"/>
  <c r="Q31" i="1"/>
  <c r="S30" i="1" s="1"/>
  <c r="E24" i="5"/>
  <c r="F205" i="3"/>
  <c r="F24" i="5" s="1"/>
  <c r="D24" i="5"/>
  <c r="Q29" i="1"/>
  <c r="S28" i="1" s="1"/>
  <c r="E23" i="5"/>
  <c r="F204" i="3"/>
  <c r="F23" i="5" s="1"/>
  <c r="D23" i="5"/>
  <c r="E22" i="5"/>
  <c r="G22" i="5" s="1"/>
  <c r="F203" i="3"/>
  <c r="F22" i="5" s="1"/>
  <c r="Q27" i="1"/>
  <c r="S26" i="1" s="1"/>
  <c r="Q25" i="1"/>
  <c r="S24" i="1" s="1"/>
  <c r="F202" i="3"/>
  <c r="F21" i="5" s="1"/>
  <c r="E21" i="5"/>
  <c r="G21" i="5" s="1"/>
  <c r="E20" i="5"/>
  <c r="Q23" i="1"/>
  <c r="F201" i="3"/>
  <c r="F20" i="5" s="1"/>
  <c r="D20" i="5"/>
  <c r="F200" i="3"/>
  <c r="F19" i="5" s="1"/>
  <c r="E19" i="5"/>
  <c r="G19" i="5" s="1"/>
  <c r="F199" i="3"/>
  <c r="F18" i="5" s="1"/>
  <c r="Q21" i="1"/>
  <c r="S20" i="1" s="1"/>
  <c r="E18" i="5"/>
  <c r="G18" i="5" s="1"/>
  <c r="Q19" i="1"/>
  <c r="S18" i="1" s="1"/>
  <c r="F198" i="3"/>
  <c r="F17" i="5" s="1"/>
  <c r="E17" i="5"/>
  <c r="G17" i="5" s="1"/>
  <c r="E16" i="5"/>
  <c r="G16" i="5" s="1"/>
  <c r="Q17" i="1"/>
  <c r="S16" i="1" s="1"/>
  <c r="D16" i="5"/>
  <c r="F197" i="3"/>
  <c r="F16" i="5" s="1"/>
  <c r="Q15" i="1"/>
  <c r="S14" i="1" s="1"/>
  <c r="E15" i="5"/>
  <c r="D15" i="5"/>
  <c r="F196" i="3"/>
  <c r="F15" i="5" s="1"/>
  <c r="F195" i="3"/>
  <c r="F14" i="5" s="1"/>
  <c r="E14" i="5"/>
  <c r="G14" i="5" s="1"/>
  <c r="Q13" i="1"/>
  <c r="S12" i="1" s="1"/>
  <c r="E13" i="5"/>
  <c r="Q11" i="1"/>
  <c r="S10" i="1" s="1"/>
  <c r="D13" i="5"/>
  <c r="F194" i="3"/>
  <c r="F13" i="5" s="1"/>
  <c r="Q9" i="1"/>
  <c r="E12" i="5"/>
  <c r="G12" i="5" s="1"/>
  <c r="D12" i="5"/>
  <c r="F193" i="3"/>
  <c r="F12" i="5" s="1"/>
  <c r="E11" i="5"/>
  <c r="G11" i="5" s="1"/>
  <c r="Q7" i="1"/>
  <c r="F192" i="3"/>
  <c r="F11" i="5" s="1"/>
  <c r="G91" i="3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G123" i="3" s="1"/>
  <c r="G124" i="3" s="1"/>
  <c r="G125" i="3" s="1"/>
  <c r="G126" i="3" s="1"/>
  <c r="G127" i="3" s="1"/>
  <c r="G128" i="3" s="1"/>
  <c r="G129" i="3" s="1"/>
  <c r="G130" i="3" s="1"/>
  <c r="G131" i="3" s="1"/>
  <c r="G132" i="3" s="1"/>
  <c r="G133" i="3" s="1"/>
  <c r="D10" i="2" l="1"/>
  <c r="Q22" i="1"/>
  <c r="S22" i="1" s="1"/>
  <c r="D52" i="2"/>
  <c r="D36" i="2"/>
  <c r="Q8" i="1"/>
  <c r="S8" i="1" s="1"/>
  <c r="Q6" i="1"/>
  <c r="Q49" i="1"/>
  <c r="S6" i="1"/>
  <c r="G23" i="5"/>
  <c r="G29" i="5"/>
  <c r="G24" i="5"/>
  <c r="G20" i="5"/>
  <c r="G15" i="5"/>
  <c r="G13" i="5"/>
  <c r="G134" i="3"/>
  <c r="G135" i="3" s="1"/>
  <c r="G136" i="3" s="1"/>
  <c r="G137" i="3" s="1"/>
  <c r="G138" i="3" s="1"/>
  <c r="G139" i="3" s="1"/>
  <c r="G140" i="3" s="1"/>
  <c r="G141" i="3" s="1"/>
  <c r="G142" i="3" s="1"/>
  <c r="F5" i="5"/>
  <c r="D17" i="2" l="1"/>
  <c r="E10" i="2" s="1"/>
  <c r="E7" i="2" l="1"/>
  <c r="E11" i="2"/>
  <c r="E14" i="2"/>
  <c r="E16" i="2"/>
  <c r="D57" i="2"/>
  <c r="E15" i="2"/>
  <c r="E12" i="2"/>
  <c r="E8" i="2"/>
  <c r="E13" i="2"/>
  <c r="E9" i="2"/>
  <c r="Q44" i="1" l="1"/>
  <c r="D58" i="2"/>
  <c r="E17" i="2"/>
  <c r="Q48" i="1" l="1"/>
  <c r="S48" i="1" s="1"/>
  <c r="X7" i="1"/>
  <c r="AC7" i="1" s="1"/>
  <c r="S44" i="1"/>
  <c r="D59" i="2"/>
  <c r="E58" i="2" s="1"/>
  <c r="E57" i="2" l="1"/>
  <c r="E36" i="2"/>
  <c r="E52" i="2"/>
  <c r="E55" i="2"/>
  <c r="E39" i="2"/>
  <c r="E31" i="2"/>
  <c r="E28" i="2"/>
  <c r="B5" i="5"/>
  <c r="I5" i="5" s="1"/>
  <c r="E56" i="2"/>
  <c r="E53" i="2"/>
  <c r="E47" i="2"/>
  <c r="E45" i="2"/>
  <c r="E40" i="2"/>
  <c r="E34" i="2"/>
  <c r="E35" i="2" s="1"/>
  <c r="E32" i="2"/>
  <c r="E54" i="2"/>
  <c r="E29" i="2"/>
  <c r="E48" i="2"/>
  <c r="E42" i="2"/>
  <c r="E30" i="2"/>
  <c r="E50" i="2"/>
  <c r="E46" i="2"/>
  <c r="E43" i="2"/>
  <c r="E51" i="2"/>
  <c r="E25" i="2"/>
  <c r="E26" i="2" s="1"/>
  <c r="E44" i="2"/>
  <c r="E23" i="2"/>
  <c r="E24" i="2" s="1"/>
  <c r="E49" i="2"/>
  <c r="E41" i="2"/>
  <c r="E37" i="2"/>
  <c r="E38" i="2" s="1"/>
  <c r="E27" i="2"/>
  <c r="E59" i="2" l="1"/>
  <c r="E3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F23" authorId="0" shapeId="0" xr:uid="{00000000-0006-0000-0100-000001000000}">
      <text>
        <r>
          <rPr>
            <sz val="11"/>
            <color theme="1"/>
            <rFont val="Calibri"/>
            <family val="2"/>
          </rPr>
          <t>======
ID#AAAB92iyqQU
만든 이    (2026-06-20 06:15:53)
조직원의 부친상,모친상,장인,장모상만 지원</t>
        </r>
      </text>
    </comment>
    <comment ref="F25" authorId="0" shapeId="0" xr:uid="{00000000-0006-0000-0100-000002000000}">
      <text>
        <r>
          <rPr>
            <sz val="11"/>
            <color theme="1"/>
            <rFont val="Calibri"/>
            <family val="2"/>
          </rPr>
          <t>======
ID#AAAB92iyqQI
만든 이    (2026-06-20 06:15:53)
노동조합 출장처리 기준</t>
        </r>
      </text>
    </comment>
    <comment ref="F27" authorId="0" shapeId="0" xr:uid="{00000000-0006-0000-0100-000003000000}">
      <text>
        <r>
          <rPr>
            <sz val="11"/>
            <color theme="1"/>
            <rFont val="Calibri"/>
            <family val="2"/>
          </rPr>
          <t>======
ID#AAAB92iyqQY
만든 이    (2026-06-20 06:15:53)
의장단(4)+각부장(5)+감사(1) 
음료비</t>
        </r>
      </text>
    </comment>
    <comment ref="F28" authorId="0" shapeId="0" xr:uid="{00000000-0006-0000-0100-000004000000}">
      <text>
        <r>
          <rPr>
            <sz val="11"/>
            <color theme="1"/>
            <rFont val="Calibri"/>
            <family val="2"/>
          </rPr>
          <t>======
ID#AAAB92iyqQo
만든 이    (2026-06-20 06:15:53)
대의원선거 출마 조직원에 한해 선거비 지원</t>
        </r>
      </text>
    </comment>
    <comment ref="F37" authorId="0" shapeId="0" xr:uid="{00000000-0006-0000-0100-000005000000}">
      <text>
        <r>
          <rPr>
            <sz val="11"/>
            <color theme="1"/>
            <rFont val="Calibri"/>
            <family val="2"/>
          </rPr>
          <t>======
ID#AAAB92iyqQM
만든 이    (2026-06-20 06:15:53)
의장단(3명_의장,부의장,사무장)
 : 조직원 관리에만 사용 원칙</t>
        </r>
      </text>
    </comment>
    <comment ref="F41" authorId="0" shapeId="0" xr:uid="{00000000-0006-0000-0100-000006000000}">
      <text>
        <r>
          <rPr>
            <sz val="11"/>
            <color theme="1"/>
            <rFont val="Calibri"/>
            <family val="2"/>
          </rPr>
          <t>======
ID#AAAB92iyqQc
만든 이    (2026-06-20 06:15:53)
현재인원 + 신규인원 감안하여 예산 편성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sungbok kim</author>
  </authors>
  <commentList>
    <comment ref="H99" authorId="0" shapeId="0" xr:uid="{00000000-0006-0000-0200-000001000000}">
      <text>
        <r>
          <rPr>
            <sz val="11"/>
            <color theme="1"/>
            <rFont val="Calibri"/>
            <family val="2"/>
          </rPr>
          <t>sungbok kim:
청송군 보건의료원 장례식장(청송농협) 1분향소
(故조계남 님)</t>
        </r>
      </text>
    </comment>
  </commentList>
</comments>
</file>

<file path=xl/sharedStrings.xml><?xml version="1.0" encoding="utf-8"?>
<sst xmlns="http://schemas.openxmlformats.org/spreadsheetml/2006/main" count="1245" uniqueCount="395">
  <si>
    <t>THE 연구소 중심 5기 수입지출장부</t>
  </si>
  <si>
    <t>날짜</t>
  </si>
  <si>
    <t>예산계정</t>
  </si>
  <si>
    <t>내용 및 목적</t>
  </si>
  <si>
    <t>수입</t>
  </si>
  <si>
    <t>지출</t>
  </si>
  <si>
    <t>수입(각출)</t>
  </si>
  <si>
    <t>잔액</t>
  </si>
  <si>
    <t>내용</t>
  </si>
  <si>
    <t>정산일</t>
  </si>
  <si>
    <t>지불자</t>
  </si>
  <si>
    <t>입금은행명</t>
  </si>
  <si>
    <t>계좌번호</t>
  </si>
  <si>
    <t>기타</t>
  </si>
  <si>
    <t>확인</t>
  </si>
  <si>
    <t>이월금</t>
  </si>
  <si>
    <t>4기 회계연도 이월금 (26년 2월 최종 금액)</t>
  </si>
  <si>
    <t>의무금</t>
  </si>
  <si>
    <t>1월 조직 및 후원금 총액(소모임+집행부 미입금)</t>
  </si>
  <si>
    <t>가예산</t>
  </si>
  <si>
    <t>조직활동비2</t>
  </si>
  <si>
    <t>현대차지부 정기대대 조직사업(다수영수증-일정다를수있음)</t>
  </si>
  <si>
    <t>2026-03-07</t>
  </si>
  <si>
    <t>홍성민</t>
  </si>
  <si>
    <t>카뱅</t>
  </si>
  <si>
    <t>3333-05-4169942</t>
  </si>
  <si>
    <t>최명규</t>
  </si>
  <si>
    <t>단위농협</t>
  </si>
  <si>
    <t>207070-52-074557</t>
  </si>
  <si>
    <t>김봉수</t>
  </si>
  <si>
    <t>3333-11-3980780</t>
  </si>
  <si>
    <t>박태순</t>
  </si>
  <si>
    <t>농협</t>
  </si>
  <si>
    <t>207073-52-008696</t>
  </si>
  <si>
    <t>김경태</t>
  </si>
  <si>
    <t>국민</t>
  </si>
  <si>
    <t xml:space="preserve"> 4868-0101-315643</t>
  </si>
  <si>
    <t>박보규</t>
  </si>
  <si>
    <t>207070-52-054882</t>
  </si>
  <si>
    <t>정상화</t>
  </si>
  <si>
    <t>352-0341-4219-83</t>
  </si>
  <si>
    <t>김성복</t>
  </si>
  <si>
    <t>신한</t>
  </si>
  <si>
    <t>110-147-074758</t>
  </si>
  <si>
    <t>양수훈</t>
  </si>
  <si>
    <t>우리</t>
  </si>
  <si>
    <t xml:space="preserve"> 1002-641-955963</t>
  </si>
  <si>
    <t>2월 조직 및 후원금 총액(소모임+집행부 미입금)</t>
  </si>
  <si>
    <t>총무</t>
  </si>
  <si>
    <t>경조금</t>
  </si>
  <si>
    <t>후원회원 강철원 장인상(광명중앙대병원 화환)</t>
  </si>
  <si>
    <t>2026-03-13</t>
  </si>
  <si>
    <t>179368-56-007449</t>
  </si>
  <si>
    <t>샤론꽃집/윤영순</t>
  </si>
  <si>
    <t>후원회원 강철원 장인상(조사)</t>
  </si>
  <si>
    <t>조직강화</t>
  </si>
  <si>
    <t>조직활동비</t>
  </si>
  <si>
    <t>26-3차 정기총회 후 런치톡톡 35명, 15,000원 점심</t>
  </si>
  <si>
    <t>2026-03-23</t>
  </si>
  <si>
    <t>의장단활동비</t>
  </si>
  <si>
    <t>의장단 회의 (박보규 외3명)</t>
  </si>
  <si>
    <t>2026-03-25</t>
  </si>
  <si>
    <t>의장단 및 교육위원 회의</t>
  </si>
  <si>
    <t>2026-03-30</t>
  </si>
  <si>
    <t>조직사업(박보규 외 3명)</t>
  </si>
  <si>
    <t>2026-03-31</t>
  </si>
  <si>
    <t>운영위 점심식사(박보규 외 8명)</t>
  </si>
  <si>
    <t>일반직 대의원 의견청취(홍성민 외 2명)</t>
  </si>
  <si>
    <t>2026-04-08</t>
  </si>
  <si>
    <t>10대 집행부 저녁식사(박보규 외 8명)</t>
  </si>
  <si>
    <t>2026-04-09</t>
  </si>
  <si>
    <t>11대 집행부 회의 (박보규 외 13명)</t>
  </si>
  <si>
    <t>2026-04-13</t>
  </si>
  <si>
    <t>조직원 식사 및 회의 (박보규 외 2명)</t>
  </si>
  <si>
    <t>조직원 회의 (박보규 외 4명)</t>
  </si>
  <si>
    <t>2026-04-15</t>
  </si>
  <si>
    <t>임시대대
기간</t>
  </si>
  <si>
    <t>조직원 및 조직사업 저녁식사(박보규 외 7명)</t>
  </si>
  <si>
    <t>조직사업 회의 (홍성민 외 3명)</t>
  </si>
  <si>
    <t>조직사업 식사 (홍성민 외3명)</t>
  </si>
  <si>
    <t>조직원 및 조직사업 회의 (김경태 외 4명)</t>
  </si>
  <si>
    <t>조직원 및 조직사업 회의 (김성복 외 6명)</t>
  </si>
  <si>
    <t>조직원 저녁식사 (김성복 외 10명)</t>
  </si>
  <si>
    <t>조직원 및 조직사업 (박보규 외 5명)</t>
  </si>
  <si>
    <t>2026-04-16</t>
  </si>
  <si>
    <t>조직원 및 조직사업 (이현우)</t>
  </si>
  <si>
    <t>조직원 및 조직사업 (홍성민 외 3명)</t>
  </si>
  <si>
    <t>조직원 회의 (김성복 외 3명)</t>
  </si>
  <si>
    <t>조직대의원 뒷풀이 (지불자 김성복)</t>
  </si>
  <si>
    <t>조직대의원 뒷풀이 (지불자 박보규)</t>
  </si>
  <si>
    <t>최홍석 감사 차량 지원에 따른 유류지원비</t>
  </si>
  <si>
    <t>최홍석</t>
  </si>
  <si>
    <t>조직사업 (김봉수 외 1명)</t>
  </si>
  <si>
    <t>2026-04-21</t>
  </si>
  <si>
    <t>조직원 및 조직사업(최명규 외 5명)</t>
  </si>
  <si>
    <t>조직원 및 조직사업(홍성민 외 4명)</t>
  </si>
  <si>
    <t>11대집행부 회의(박보규 외 16명)</t>
  </si>
  <si>
    <t>2026-04-23</t>
  </si>
  <si>
    <t>조직사업 (김성복 외 2명)</t>
  </si>
  <si>
    <t>2026-04-27</t>
  </si>
  <si>
    <t>금속대대</t>
  </si>
  <si>
    <t>조직원 및 조직사업 (김성복 외 9명)</t>
  </si>
  <si>
    <t>조직원 및 조직사업 (박보규 외 3명)</t>
  </si>
  <si>
    <t>2026-04-28</t>
  </si>
  <si>
    <t>운영위원회의비</t>
  </si>
  <si>
    <t>조직수익사업(운영위원회 회의 김성복 외 7명)</t>
  </si>
  <si>
    <t>2026-04-30</t>
  </si>
  <si>
    <t>조직수익사업 선착순 커피 (박보규 외 12명)</t>
  </si>
  <si>
    <t>2026-05-06</t>
  </si>
  <si>
    <t>조직원 점심식사 (김성복 외2명)</t>
  </si>
  <si>
    <t>2026-05-07</t>
  </si>
  <si>
    <t>조직원 &amp; 노안위원 커피(김성복 외 10명)</t>
  </si>
  <si>
    <t>조직사업 (후원회원, 박보규 외 4명)</t>
  </si>
  <si>
    <t>재정사업(배너 거치대 2개)</t>
  </si>
  <si>
    <t>2026-05-09</t>
  </si>
  <si>
    <t>조직사업 (울산 세노투 의장단 회의 김성복 외 9명)</t>
  </si>
  <si>
    <t>2026-05-11</t>
  </si>
  <si>
    <t>2026-05-13</t>
  </si>
  <si>
    <t>조직사업 (홍성민 외 2명)</t>
  </si>
  <si>
    <t>재정사업 (의장단회의, 김성복 외3명)</t>
  </si>
  <si>
    <t>2026-05-14</t>
  </si>
  <si>
    <t>조직원 회의(박보규 외 2명)</t>
  </si>
  <si>
    <t>2026-05-15</t>
  </si>
  <si>
    <t>조직사업 (후원회 저녁식사 김성복 외 3명)</t>
  </si>
  <si>
    <t>2026-05-18</t>
  </si>
  <si>
    <t>조직원 회의(재정사업-의장단, 김성복 외3명)</t>
  </si>
  <si>
    <t>2026-05-19</t>
  </si>
  <si>
    <t>김경태부의장 판교출장비 대신 치킨배달</t>
  </si>
  <si>
    <t>2026-05-22</t>
  </si>
  <si>
    <t>출장비 27,916원 -&gt; 치킨 22,000원</t>
  </si>
  <si>
    <t>집행부 이사 (회의, 김성복 외 13명)</t>
  </si>
  <si>
    <t>2026-05-26</t>
  </si>
  <si>
    <t>조직사업(티, 고창원 파트원, 김성복 외4명)</t>
  </si>
  <si>
    <t>2026-05-28</t>
  </si>
  <si>
    <t>조직원 및 후원회원 회의(김성복 외 3명)</t>
  </si>
  <si>
    <t>2026-06-02</t>
  </si>
  <si>
    <t>조직사업 (홍성민 외1명)</t>
  </si>
  <si>
    <t>조직원 저녁식사 (박보규 외 4명)</t>
  </si>
  <si>
    <t>최명규 조직원 빙부상</t>
  </si>
  <si>
    <t>2026-06-03</t>
  </si>
  <si>
    <t>최명규 조직원 빙부상 (화환)</t>
  </si>
  <si>
    <t>조직원 회의(김성복 외 3명)</t>
  </si>
  <si>
    <t>2026-06-08</t>
  </si>
  <si>
    <t>조직원 저녁 (박보규 외 3명)</t>
  </si>
  <si>
    <t>2026-06-10</t>
  </si>
  <si>
    <t>조직의장단 회의(4명)</t>
  </si>
  <si>
    <t>2026-06-12</t>
  </si>
  <si>
    <t>조직 의장단 회의(4명)</t>
  </si>
  <si>
    <t>2026-06-15</t>
  </si>
  <si>
    <t>조직원 회의(홍성민 외 2명)</t>
  </si>
  <si>
    <t>2026-06-17</t>
  </si>
  <si>
    <t>조직사업(박보규 외 13명)</t>
  </si>
  <si>
    <t>조직의장단 및 감사 점심(5명)</t>
  </si>
  <si>
    <t>2026-06-18</t>
  </si>
  <si>
    <t>조직사업(김경태 외 5명)</t>
  </si>
  <si>
    <t>2026-06-19</t>
  </si>
  <si>
    <t>임시대대조직대의원 및 우호 회의(박보규 외 5명)</t>
  </si>
  <si>
    <t>2026-06-23</t>
  </si>
  <si>
    <t>임시대대조직대의원 및 우호 회의(홍성민 외 4명)</t>
  </si>
  <si>
    <t>2026-06-26</t>
  </si>
  <si>
    <t>조직사업(홍성민 외3명)</t>
  </si>
  <si>
    <t>2026-06-30</t>
  </si>
  <si>
    <t>이자수입</t>
  </si>
  <si>
    <t>2026-07-01</t>
  </si>
  <si>
    <t>조직사업(김성복 외2명)</t>
  </si>
  <si>
    <t>2026-07-02</t>
  </si>
  <si>
    <t>조직사업(홍성민 외1명)</t>
  </si>
  <si>
    <t>2026-07-03</t>
  </si>
  <si>
    <t>조직사업(홍성민 외2명)</t>
  </si>
  <si>
    <t>2026-07-07</t>
  </si>
  <si>
    <t>2026-07-06</t>
  </si>
  <si>
    <t>조직의장단 회의(2명)</t>
  </si>
  <si>
    <t>2026-07-09</t>
  </si>
  <si>
    <t>조직원회의(홍성민 외2명)</t>
  </si>
  <si>
    <t>2026-07-10</t>
  </si>
  <si>
    <t>이남호 현대디자인모델솔루션팀 모친상(부의 및 조화)</t>
  </si>
  <si>
    <t>2026-07-11</t>
  </si>
  <si>
    <t>집행부 철농 수박2통 지원</t>
  </si>
  <si>
    <t>2026-07-13</t>
  </si>
  <si>
    <t>조직의장단 회의(박보규 외4명, 감사포함)</t>
  </si>
  <si>
    <t>의장단 점심 식사(김성복 외2명)</t>
  </si>
  <si>
    <t>2026-07-14</t>
  </si>
  <si>
    <t>조직원 티타임 (박보규 외1명)</t>
  </si>
  <si>
    <t>조직대의원 철농 저녁식사지원(박보규 외 9명)</t>
  </si>
  <si>
    <t>2026-07-15</t>
  </si>
  <si>
    <t>조직대의원 철농 저녁식사 후 커피(박보규 외 9명)</t>
  </si>
  <si>
    <t>조직사업(홍성민 외 2명)</t>
  </si>
  <si>
    <t>조직원 티타임(박보규 외 2명)</t>
  </si>
  <si>
    <t>2026-07-16</t>
  </si>
  <si>
    <t>조직대의원 저녁식사(박보규 외3명)</t>
  </si>
  <si>
    <t>2026-07-20</t>
  </si>
  <si>
    <t>조직사업, 노개위실무(김성복 외3명)</t>
  </si>
  <si>
    <t>집행부 격려(박보규 외 12명)</t>
  </si>
  <si>
    <t>조직대의원 간식(김성복 외 8명)</t>
  </si>
  <si>
    <t>2026-07-22</t>
  </si>
  <si>
    <t>조직사업(김성복 외3명)</t>
  </si>
  <si>
    <t>지부감사 티타임(박보규 외 3명)</t>
  </si>
  <si>
    <t>2026-07-23</t>
  </si>
  <si>
    <t>조직원 티타임(김성복 외3명)</t>
  </si>
  <si>
    <t>의무금+후원금</t>
  </si>
  <si>
    <t>교육위원 티타임(박보규 외 7명)</t>
  </si>
  <si>
    <t>조직사업(홍성민 외 5명)</t>
  </si>
  <si>
    <t>2026-07-28</t>
  </si>
  <si>
    <t>조직원 간식비 (박보규 외 4명)</t>
  </si>
  <si>
    <t>2026-07-30</t>
  </si>
  <si>
    <t>교육위원 티타임(김성복 외 2명)</t>
  </si>
  <si>
    <t>2026-08-04</t>
  </si>
  <si>
    <t>의장단 회의 (김성복 외2명)</t>
  </si>
  <si>
    <t>2026-08-05</t>
  </si>
  <si>
    <t>2026-08-07</t>
  </si>
  <si>
    <t>조직원 티타임(홍성민 외 4명)</t>
  </si>
  <si>
    <t>2026-08-11</t>
  </si>
  <si>
    <t>조직사업(김성복 외 4명)</t>
  </si>
  <si>
    <t>조직원 티타임(김성복 외 2명)</t>
  </si>
  <si>
    <t>2026-08-12</t>
  </si>
  <si>
    <t>조직사업(김성복 외 2명)</t>
  </si>
  <si>
    <t>조직원 티타임(김성복 외 3명)</t>
  </si>
  <si>
    <t>조직대의원 석식(김성복 외 9명)</t>
  </si>
  <si>
    <t>2026-08-19</t>
  </si>
  <si>
    <t>교육선전</t>
  </si>
  <si>
    <t>교선회의비</t>
  </si>
  <si>
    <t>교선회의(박보규 외 7명)</t>
  </si>
  <si>
    <t>정책기획</t>
  </si>
  <si>
    <t>정책부회의비</t>
  </si>
  <si>
    <t>정책부회의(박보규 외 8명)</t>
  </si>
  <si>
    <t>조직원티타임(김성복 외 6명)</t>
  </si>
  <si>
    <t>2026-08-20</t>
  </si>
  <si>
    <t>의장단 회의 (김성복 외3명)</t>
  </si>
  <si>
    <t>조직원 및 조직사업(김성복 외 4명)</t>
  </si>
  <si>
    <t>2026-08-25</t>
  </si>
  <si>
    <t>조직원 티타임 (김성복 외3명)</t>
  </si>
  <si>
    <t>조직의장단 티타임(김성복 외3명)</t>
  </si>
  <si>
    <t>2026-08-27</t>
  </si>
  <si>
    <t>조직사업 (김성복 외 8명)</t>
  </si>
  <si>
    <t>재정사업</t>
  </si>
  <si>
    <t>상반기조직감사시작 점심식사(김성복 외4명)</t>
  </si>
  <si>
    <t>2026-09-01</t>
  </si>
  <si>
    <t>의장단 티타임 (김성복 외3명)</t>
  </si>
  <si>
    <t>대외협력</t>
  </si>
  <si>
    <t>선대본</t>
  </si>
  <si>
    <t>수식</t>
  </si>
  <si>
    <t>이름관리자</t>
  </si>
  <si>
    <t>유인물,현수막비</t>
  </si>
  <si>
    <t>대협회의비</t>
  </si>
  <si>
    <t>조직부회의비</t>
  </si>
  <si>
    <t>이체</t>
  </si>
  <si>
    <t>데이터유효성검사</t>
  </si>
  <si>
    <t>국내여비</t>
  </si>
  <si>
    <t>대협활동비</t>
  </si>
  <si>
    <t>정책활동비</t>
  </si>
  <si>
    <t>입금</t>
  </si>
  <si>
    <t>후원금</t>
  </si>
  <si>
    <t>대자보비</t>
  </si>
  <si>
    <t>조직원수련회비</t>
  </si>
  <si>
    <t>선대본_기타</t>
  </si>
  <si>
    <t>대의원선거비</t>
  </si>
  <si>
    <t>후원회원행사비</t>
  </si>
  <si>
    <t>사무용품비</t>
  </si>
  <si>
    <t>잡수입</t>
  </si>
  <si>
    <t>조직원포상비</t>
  </si>
  <si>
    <t>적립금</t>
  </si>
  <si>
    <t>선물비</t>
  </si>
  <si>
    <t>예비비</t>
  </si>
  <si>
    <t>결의금</t>
  </si>
  <si>
    <t>사용금액</t>
  </si>
  <si>
    <t>운영비</t>
  </si>
  <si>
    <t>여비</t>
  </si>
  <si>
    <t>회의비</t>
  </si>
  <si>
    <t>사무비</t>
  </si>
  <si>
    <t>사업비</t>
  </si>
  <si>
    <t>사업부운영비</t>
  </si>
  <si>
    <t>조직사업비</t>
  </si>
  <si>
    <t>정책사업비</t>
  </si>
  <si>
    <t>대협사업비</t>
  </si>
  <si>
    <t>교선사업비</t>
  </si>
  <si>
    <t xml:space="preserve">                                                           </t>
  </si>
  <si>
    <t>구
분</t>
  </si>
  <si>
    <t>내   용</t>
  </si>
  <si>
    <t>2026년</t>
  </si>
  <si>
    <t>예산
(단위:원)</t>
  </si>
  <si>
    <t>실적</t>
  </si>
  <si>
    <t>비고</t>
  </si>
  <si>
    <t>계획</t>
  </si>
  <si>
    <t>총무부</t>
  </si>
  <si>
    <t>조강부</t>
  </si>
  <si>
    <t>정책</t>
  </si>
  <si>
    <t>대협</t>
  </si>
  <si>
    <t>교선</t>
  </si>
  <si>
    <t>계</t>
  </si>
  <si>
    <t>조직부</t>
  </si>
  <si>
    <t>정책부</t>
  </si>
  <si>
    <t>대협부</t>
  </si>
  <si>
    <t>교선부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</si>
  <si>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</t>
  </si>
  <si>
    <t>계   획</t>
  </si>
  <si>
    <t>사업계획</t>
  </si>
  <si>
    <t>사업실적</t>
  </si>
  <si>
    <t xml:space="preserve"> 수 입 부 ( 26년 1월 ~26년 12월)</t>
  </si>
  <si>
    <t>계 정 과 목</t>
  </si>
  <si>
    <t xml:space="preserve"> 편 성 금 액</t>
  </si>
  <si>
    <t>산 출 근 거</t>
  </si>
  <si>
    <t>관</t>
  </si>
  <si>
    <t>항</t>
  </si>
  <si>
    <t>목</t>
  </si>
  <si>
    <t>금액</t>
  </si>
  <si>
    <t>편성비</t>
  </si>
  <si>
    <t>회비</t>
  </si>
  <si>
    <t>▷ 매달 입금에 따른 실시간 적용 금액</t>
  </si>
  <si>
    <t>▷ 매달 입금에 따른 실시간 적용 금액 (인원 변동)</t>
  </si>
  <si>
    <t>전년도 이월금
- (적립금)</t>
  </si>
  <si>
    <t>▷ 4기 예산에 대한 이월금(23,031,391원)</t>
  </si>
  <si>
    <t>소   계</t>
  </si>
  <si>
    <t>기타수입</t>
  </si>
  <si>
    <t>잡수입2</t>
  </si>
  <si>
    <t>소  계</t>
  </si>
  <si>
    <t>합    계</t>
  </si>
  <si>
    <t xml:space="preserve"> 지 출 부 ( 26년 1월 ~26년 12월)</t>
  </si>
  <si>
    <t>편 성 금 액</t>
  </si>
  <si>
    <t>▷ 4기 평균 수준으로 계획</t>
  </si>
  <si>
    <t>경조금 계</t>
  </si>
  <si>
    <t>▷ (214,200원 x 3명) x 3회 = 1,927,800원 (KTX 기준)</t>
  </si>
  <si>
    <t>소 계</t>
  </si>
  <si>
    <t>▷ (5,000원 x 9명) x 12회 = 540,000원</t>
  </si>
  <si>
    <t>▷ (50,000원) x 8회 = 400,000원</t>
  </si>
  <si>
    <t>▷ (50,000원) x 4회 = 200,000원</t>
  </si>
  <si>
    <t>소계</t>
  </si>
  <si>
    <t>운영비 계</t>
  </si>
  <si>
    <t>▷ 900,000원 x 4분기 = 3,600,000원</t>
  </si>
  <si>
    <t xml:space="preserve">▷ 조직사업 + 홍보사업  = 8,000,000원 </t>
  </si>
  <si>
    <t xml:space="preserve">▷ 100,000원 x 3명 = 300,000원 </t>
  </si>
  <si>
    <t>▷ 20,000원 x 200명분(186명+@) = 4,000,000원</t>
  </si>
  <si>
    <t>▷ 50,000원 x 46명 = 2,300,000원</t>
  </si>
  <si>
    <t>▷ 100,000원 x 6회 = 600,000원 (정책자료 수집, 여론수렴 자료화)</t>
  </si>
  <si>
    <t xml:space="preserve">▷ 100,000원 x 3회 = 300,000원 </t>
  </si>
  <si>
    <t>▷ 대자보 5회 x 100,000원 = 500,000원</t>
  </si>
  <si>
    <t>현수막,유인물</t>
  </si>
  <si>
    <t>▷ 현수막 및 유인물 = 400,000원</t>
  </si>
  <si>
    <t>사업비 계</t>
  </si>
  <si>
    <t>조직사업비(가예산) 계</t>
  </si>
  <si>
    <t>예비비 계</t>
  </si>
  <si>
    <t>적립금 계</t>
  </si>
  <si>
    <t>합 계</t>
  </si>
  <si>
    <t>2026년 5기 수입 금액 정리</t>
  </si>
  <si>
    <t>조직원 수</t>
  </si>
  <si>
    <t>후원회원 수</t>
  </si>
  <si>
    <t>조직원 입금</t>
  </si>
  <si>
    <t>후원회원 입금</t>
  </si>
  <si>
    <t>입금액</t>
  </si>
  <si>
    <t>비 고</t>
  </si>
  <si>
    <t>1월</t>
  </si>
  <si>
    <t>후원회원</t>
  </si>
  <si>
    <t>2월</t>
  </si>
  <si>
    <t>조직원 탈퇴(1):박준성
조직원 가입(2):임재진,유규석
후원회원탈퇴(4):김동우, 임선우, 임재진, 유규석
후원회원 가입(1):박준성
후원회원 중 10,000원 후원 1명 존재</t>
  </si>
  <si>
    <t>3월</t>
  </si>
  <si>
    <t>후원회원탈퇴(1) : 김태문(미공제)</t>
  </si>
  <si>
    <t>4월</t>
  </si>
  <si>
    <t>4월14일 - 윤희성 후원회원 가입 (회계처리완)
4월 22일 - 김정환 후원회원 가입 (회계처리 기간이 지나 5월 회계처리예정)</t>
  </si>
  <si>
    <t>5월</t>
  </si>
  <si>
    <t>김정환 후원회원 5월 가입 처리 (회계)</t>
  </si>
  <si>
    <t>6월</t>
  </si>
  <si>
    <t>6월20일 - 소지섭 연구원(회계처리 기간이 지나 7월 회계처리예정)</t>
  </si>
  <si>
    <t>7월</t>
  </si>
  <si>
    <t xml:space="preserve"> 소지섭 연구원 - 회계처리 기간이 지나 7월 회계처리완료</t>
  </si>
  <si>
    <t>8월</t>
  </si>
  <si>
    <t xml:space="preserve"> 정양민 연구원 - 8월 5일 가입 처리 완 (회계)</t>
  </si>
  <si>
    <t>9월</t>
  </si>
  <si>
    <t>10월</t>
  </si>
  <si>
    <t>11월</t>
  </si>
  <si>
    <t>12월</t>
  </si>
  <si>
    <t>회비(합계)</t>
  </si>
  <si>
    <t>재정사업(합계)</t>
  </si>
  <si>
    <t>이자(합계)</t>
  </si>
  <si>
    <t>총수입</t>
  </si>
  <si>
    <t>회비+재정사업+예금이자</t>
  </si>
  <si>
    <t>THE 연구소 5기 예산 대비 실적 대시보드</t>
  </si>
  <si>
    <t>기준: 2026-02-20 ~ 2026-09-01 실적 반영 · 회계연도 경과 약 67%</t>
  </si>
  <si>
    <t>총 편성예산</t>
  </si>
  <si>
    <t>공식 지출실적</t>
  </si>
  <si>
    <t>현재 잔액</t>
  </si>
  <si>
    <t>공식예산 집행률</t>
  </si>
  <si>
    <t>가예산 별도집행</t>
  </si>
  <si>
    <t>세부 항목별 예산 집행 현황 (19개 항목, 예산목간 순서)</t>
  </si>
  <si>
    <t>항목</t>
  </si>
  <si>
    <t>예산</t>
  </si>
  <si>
    <t>집행률</t>
  </si>
  <si>
    <t>※ 가예산(조직활동비2 등)은 공식 사업계획(2. 5기_예산목간 시트)에 편성되지 않은 별도 집행 항목으로, 위 공식예산 집행률 계산에서 제외되어 있습니다. 예산 0원 항목(사무용품비, 후원회원행사비)의 집행률은 0%로 표시됩니다.</t>
  </si>
  <si>
    <t>의장단 회의 (김성복 외 3명)</t>
    <phoneticPr fontId="34" type="noConversion"/>
  </si>
  <si>
    <t>2026-09-02</t>
    <phoneticPr fontId="34" type="noConversion"/>
  </si>
  <si>
    <t>조직원 티타임 (김성복 외 2명)</t>
    <phoneticPr fontId="34" type="noConversion"/>
  </si>
  <si>
    <t>2026-09-04</t>
    <phoneticPr fontId="34" type="noConversion"/>
  </si>
  <si>
    <t>조직원 티타임 (김성복 외 11명)</t>
    <phoneticPr fontId="34" type="noConversion"/>
  </si>
  <si>
    <t>2026-09-08</t>
    <phoneticPr fontId="34" type="noConversion"/>
  </si>
  <si>
    <t>The연구소중심 조직부 회의비 (박보규 외 13명)</t>
    <phoneticPr fontId="34" type="noConversion"/>
  </si>
  <si>
    <t>의장단 및 감사 첫 회식(김성복 외 4명)</t>
    <phoneticPr fontId="34" type="noConversion"/>
  </si>
  <si>
    <t>2026-09-10</t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</si>
</sst>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_ "/>
    <numFmt numFmtId="177" formatCode="#,##0;[Red]#,##0"/>
    <numFmt numFmtId="178" formatCode="#,##0_);[Red]\(#,##0\)"/>
    <numFmt numFmtId="179" formatCode="_-* #,##0_-;\-* #,##0_-;_-* &quot;-&quot;_-;_-@"/>
    <numFmt numFmtId="180" formatCode="[$-F800]dddd\,\ mmmm\ dd\,\ yyyy"/>
    <numFmt numFmtId="181" formatCode="yyyy\-mm\-dd"/>
    <numFmt numFmtId="182" formatCode="_-* #,##0.0_-;\-* #,##0.0_-;_-* &quot;-&quot;?_-;_-@_-"/>
    <numFmt numFmtId="183" formatCode="#,##0&quot;원&quot;"/>
    <numFmt numFmtId="184" formatCode="0.0%"/>
  </numFmts>
  <fonts count="46">
    <font>
      <sz val="11"/>
      <color theme="1"/>
      <name val="Calibri"/>
    </font>
    <font>
      <sz val="11"/>
      <color theme="1"/>
      <name val="현대하모니 L"/>
      <family val="1"/>
      <charset val="129"/>
    </font>
    <font>
      <sz val="11"/>
      <name val="Calibri"/>
      <family val="2"/>
    </font>
    <font>
      <sz val="9"/>
      <color theme="1"/>
      <name val="현대하모니 L"/>
      <family val="1"/>
      <charset val="129"/>
    </font>
    <font>
      <sz val="18"/>
      <color theme="1"/>
      <name val="Arial"/>
      <family val="2"/>
    </font>
    <font>
      <sz val="9"/>
      <color rgb="FF000000"/>
      <name val="현대하모니 L"/>
      <family val="1"/>
      <charset val="129"/>
    </font>
    <font>
      <b/>
      <sz val="12"/>
      <color rgb="FF000000"/>
      <name val="기아 Medium"/>
      <family val="3"/>
      <charset val="129"/>
    </font>
    <font>
      <sz val="9"/>
      <color rgb="FF000000"/>
      <name val="Arial"/>
      <family val="2"/>
    </font>
    <font>
      <sz val="8"/>
      <color rgb="FF000000"/>
      <name val="현대하모니 L"/>
      <family val="1"/>
      <charset val="129"/>
    </font>
    <font>
      <b/>
      <sz val="9"/>
      <color rgb="FF000000"/>
      <name val="Arial"/>
      <family val="2"/>
    </font>
    <font>
      <sz val="24"/>
      <color theme="1"/>
      <name val="Gulim"/>
    </font>
    <font>
      <sz val="11"/>
      <color theme="1"/>
      <name val="Gulim"/>
    </font>
    <font>
      <sz val="11"/>
      <color theme="1"/>
      <name val="Malgun Gothic"/>
      <family val="3"/>
      <charset val="129"/>
    </font>
    <font>
      <b/>
      <sz val="20"/>
      <color theme="1"/>
      <name val="현대하모니 L"/>
      <family val="1"/>
      <charset val="129"/>
    </font>
    <font>
      <sz val="20"/>
      <color theme="1"/>
      <name val="Gulim"/>
    </font>
    <font>
      <b/>
      <sz val="14"/>
      <color theme="1"/>
      <name val="현대하모니 L"/>
      <family val="1"/>
      <charset val="129"/>
    </font>
    <font>
      <sz val="12"/>
      <color theme="1"/>
      <name val="현대하모니 L"/>
      <family val="1"/>
      <charset val="129"/>
    </font>
    <font>
      <b/>
      <sz val="11"/>
      <color theme="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12"/>
      <color theme="1"/>
      <name val="현대하모니 L"/>
      <family val="1"/>
      <charset val="129"/>
    </font>
    <font>
      <sz val="20"/>
      <color theme="1"/>
      <name val="현대하모니 L"/>
      <family val="1"/>
      <charset val="129"/>
    </font>
    <font>
      <b/>
      <sz val="11"/>
      <color rgb="FFFF0000"/>
      <name val="Malgun Gothic"/>
      <family val="3"/>
      <charset val="129"/>
    </font>
    <font>
      <b/>
      <sz val="20"/>
      <color theme="0"/>
      <name val="Malgun Gothic"/>
      <family val="3"/>
      <charset val="129"/>
    </font>
    <font>
      <sz val="11"/>
      <color rgb="FFFFFFFF"/>
      <name val="Malgun Gothic"/>
      <family val="3"/>
      <charset val="129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sz val="10"/>
      <color theme="1"/>
      <name val="Arial"/>
      <family val="2"/>
    </font>
    <font>
      <sz val="18"/>
      <color theme="1"/>
      <name val="현대하모니 M"/>
      <family val="1"/>
      <charset val="129"/>
    </font>
    <font>
      <sz val="10"/>
      <color theme="1"/>
      <name val="현대하모니 M"/>
      <family val="1"/>
      <charset val="129"/>
    </font>
    <font>
      <sz val="11"/>
      <color theme="1"/>
      <name val="현대하모니 M"/>
      <family val="1"/>
      <charset val="129"/>
    </font>
    <font>
      <sz val="10"/>
      <color rgb="FFFF0000"/>
      <name val="현대하모니 M"/>
      <family val="1"/>
      <charset val="129"/>
    </font>
    <font>
      <sz val="12"/>
      <color theme="1"/>
      <name val="현대하모니 M"/>
      <family val="1"/>
      <charset val="129"/>
    </font>
    <font>
      <sz val="11"/>
      <color rgb="FFFF0000"/>
      <name val="현대하모니 M"/>
      <family val="1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11"/>
      <name val="Malgun Gothic"/>
      <family val="3"/>
      <charset val="129"/>
    </font>
    <font>
      <b/>
      <sz val="20"/>
      <color rgb="FF0B0B0B"/>
      <name val="맑은 고딕"/>
      <family val="3"/>
      <charset val="129"/>
    </font>
    <font>
      <sz val="11"/>
      <color rgb="FF52514E"/>
      <name val="맑은 고딕"/>
      <family val="3"/>
      <charset val="129"/>
    </font>
    <font>
      <sz val="9.5"/>
      <color rgb="FF52514E"/>
      <name val="맑은 고딕"/>
      <family val="3"/>
      <charset val="129"/>
    </font>
    <font>
      <b/>
      <sz val="17"/>
      <color rgb="FF0B0B0B"/>
      <name val="맑은 고딕"/>
      <family val="3"/>
      <charset val="129"/>
    </font>
    <font>
      <i/>
      <sz val="9"/>
      <color rgb="FF898781"/>
      <name val="맑은 고딕"/>
      <family val="3"/>
      <charset val="129"/>
    </font>
    <font>
      <b/>
      <sz val="13"/>
      <color rgb="FF0B0B0B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sz val="13"/>
      <color rgb="FF52514E"/>
      <name val="맑은 고딕"/>
      <family val="3"/>
      <charset val="129"/>
    </font>
    <font>
      <sz val="13"/>
      <color rgb="FF0B0B0B"/>
      <name val="맑은 고딕"/>
      <family val="3"/>
      <charset val="129"/>
    </font>
    <font>
      <sz val="13"/>
      <color rgb="FF2A78D6"/>
      <name val="맑은 고딕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CCFFCC"/>
      </patternFill>
    </fill>
    <fill>
      <patternFill patternType="solid">
        <fgColor theme="0"/>
      </patternFill>
    </fill>
    <fill>
      <patternFill patternType="solid">
        <fgColor rgb="FFFFFF00"/>
      </patternFill>
    </fill>
    <fill>
      <patternFill patternType="solid">
        <fgColor rgb="FFF7CAAC"/>
      </patternFill>
    </fill>
    <fill>
      <patternFill patternType="solid">
        <fgColor rgb="FF3F3F3F"/>
      </patternFill>
    </fill>
    <fill>
      <patternFill patternType="solid">
        <fgColor rgb="FFFFF2CB"/>
      </patternFill>
    </fill>
    <fill>
      <patternFill patternType="solid">
        <fgColor rgb="FFFFE598"/>
      </patternFill>
    </fill>
    <fill>
      <patternFill patternType="solid">
        <fgColor rgb="FFFFC000"/>
      </patternFill>
    </fill>
    <fill>
      <patternFill patternType="solid">
        <fgColor rgb="FFF4B083"/>
      </patternFill>
    </fill>
    <fill>
      <patternFill patternType="solid">
        <fgColor theme="9" tint="0.79995117038483843"/>
        <bgColor indexed="65"/>
      </patternFill>
    </fill>
    <fill>
      <patternFill patternType="solid">
        <fgColor rgb="FFFF0000"/>
      </patternFill>
    </fill>
    <fill>
      <patternFill patternType="solid">
        <fgColor rgb="FFEAF2FB"/>
      </patternFill>
    </fill>
    <fill>
      <patternFill patternType="solid">
        <fgColor rgb="FFFFF6E8"/>
      </patternFill>
    </fill>
    <fill>
      <patternFill patternType="solid">
        <fgColor rgb="FF52514E"/>
      </patternFill>
    </fill>
    <fill>
      <patternFill patternType="solid">
        <fgColor rgb="FFF7F7F5"/>
      </patternFill>
    </fill>
  </fills>
  <borders count="77">
    <border>
      <left/>
      <right/>
      <top/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/>
      <bottom style="double">
        <color rgb="FF000000"/>
      </bottom>
      <diagonal/>
    </border>
    <border>
      <left style="thick">
        <color rgb="FF000000"/>
      </left>
      <right style="thick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/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double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/>
      <bottom style="thick">
        <color rgb="FF2A78D6"/>
      </bottom>
      <diagonal/>
    </border>
    <border>
      <left/>
      <right/>
      <top/>
      <bottom style="thick">
        <color rgb="FFFAB219"/>
      </bottom>
      <diagonal/>
    </border>
    <border>
      <left style="thin">
        <color rgb="FFE1E0D9"/>
      </left>
      <right style="thin">
        <color rgb="FFE1E0D9"/>
      </right>
      <top style="thin">
        <color rgb="FFE1E0D9"/>
      </top>
      <bottom style="thin">
        <color rgb="FFE1E0D9"/>
      </bottom>
      <diagonal/>
    </border>
  </borders>
  <cellStyleXfs count="1">
    <xf numFmtId="0" fontId="0" fillId="0" borderId="48"/>
  </cellStyleXfs>
  <cellXfs count="276">
    <xf numFmtId="0" fontId="0" fillId="0" borderId="0" xfId="0" applyBorder="1" applyAlignment="1">
      <alignment vertic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3" fontId="1" fillId="0" borderId="15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/>
    </xf>
    <xf numFmtId="3" fontId="1" fillId="0" borderId="0" xfId="0" applyNumberFormat="1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horizontal="center" wrapText="1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49" fontId="1" fillId="0" borderId="0" xfId="0" applyNumberFormat="1" applyFont="1" applyBorder="1"/>
    <xf numFmtId="3" fontId="3" fillId="0" borderId="0" xfId="0" applyNumberFormat="1" applyFont="1" applyBorder="1"/>
    <xf numFmtId="3" fontId="1" fillId="0" borderId="0" xfId="0" applyNumberFormat="1" applyFont="1" applyBorder="1"/>
    <xf numFmtId="0" fontId="10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/>
    <xf numFmtId="0" fontId="11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5" fillId="0" borderId="15" xfId="0" applyFont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176" fontId="16" fillId="0" borderId="15" xfId="0" applyNumberFormat="1" applyFont="1" applyBorder="1" applyAlignment="1">
      <alignment vertical="center"/>
    </xf>
    <xf numFmtId="10" fontId="16" fillId="0" borderId="15" xfId="0" applyNumberFormat="1" applyFont="1" applyBorder="1" applyAlignment="1">
      <alignment horizontal="right" vertical="center"/>
    </xf>
    <xf numFmtId="176" fontId="16" fillId="0" borderId="15" xfId="0" applyNumberFormat="1" applyFont="1" applyBorder="1" applyAlignment="1">
      <alignment horizontal="left" vertical="center" wrapText="1"/>
    </xf>
    <xf numFmtId="177" fontId="16" fillId="0" borderId="15" xfId="0" applyNumberFormat="1" applyFont="1" applyBorder="1" applyAlignment="1">
      <alignment horizontal="left" vertical="center" wrapText="1"/>
    </xf>
    <xf numFmtId="0" fontId="17" fillId="4" borderId="43" xfId="0" applyFont="1" applyFill="1" applyBorder="1" applyAlignment="1">
      <alignment vertical="center"/>
    </xf>
    <xf numFmtId="0" fontId="18" fillId="4" borderId="43" xfId="0" applyFont="1" applyFill="1" applyBorder="1" applyAlignment="1">
      <alignment vertical="center"/>
    </xf>
    <xf numFmtId="0" fontId="16" fillId="0" borderId="15" xfId="0" applyFont="1" applyBorder="1" applyAlignment="1">
      <alignment horizontal="center" vertical="center" wrapText="1"/>
    </xf>
    <xf numFmtId="176" fontId="16" fillId="5" borderId="15" xfId="0" applyNumberFormat="1" applyFont="1" applyFill="1" applyBorder="1" applyAlignment="1">
      <alignment vertical="center"/>
    </xf>
    <xf numFmtId="10" fontId="16" fillId="5" borderId="15" xfId="0" applyNumberFormat="1" applyFont="1" applyFill="1" applyBorder="1" applyAlignment="1">
      <alignment horizontal="right" vertical="center"/>
    </xf>
    <xf numFmtId="0" fontId="16" fillId="5" borderId="15" xfId="0" applyFont="1" applyFill="1" applyBorder="1" applyAlignment="1">
      <alignment vertical="center"/>
    </xf>
    <xf numFmtId="176" fontId="12" fillId="0" borderId="0" xfId="0" applyNumberFormat="1" applyFont="1" applyBorder="1"/>
    <xf numFmtId="0" fontId="16" fillId="5" borderId="15" xfId="0" applyFont="1" applyFill="1" applyBorder="1" applyAlignment="1">
      <alignment horizontal="center" vertical="center"/>
    </xf>
    <xf numFmtId="176" fontId="16" fillId="0" borderId="15" xfId="0" applyNumberFormat="1" applyFont="1" applyBorder="1" applyAlignment="1">
      <alignment horizontal="right" vertical="center"/>
    </xf>
    <xf numFmtId="176" fontId="19" fillId="2" borderId="15" xfId="0" applyNumberFormat="1" applyFont="1" applyFill="1" applyBorder="1" applyAlignment="1">
      <alignment vertical="center"/>
    </xf>
    <xf numFmtId="10" fontId="19" fillId="2" borderId="15" xfId="0" applyNumberFormat="1" applyFont="1" applyFill="1" applyBorder="1" applyAlignment="1">
      <alignment vertical="center"/>
    </xf>
    <xf numFmtId="0" fontId="19" fillId="2" borderId="15" xfId="0" applyFont="1" applyFill="1" applyBorder="1" applyAlignment="1">
      <alignment vertical="center"/>
    </xf>
    <xf numFmtId="0" fontId="18" fillId="0" borderId="0" xfId="0" applyFont="1" applyBorder="1"/>
    <xf numFmtId="176" fontId="18" fillId="0" borderId="0" xfId="0" applyNumberFormat="1" applyFont="1" applyBorder="1"/>
    <xf numFmtId="0" fontId="11" fillId="0" borderId="44" xfId="0" applyFont="1" applyBorder="1" applyAlignment="1">
      <alignment vertical="center"/>
    </xf>
    <xf numFmtId="176" fontId="11" fillId="0" borderId="0" xfId="0" applyNumberFormat="1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178" fontId="20" fillId="0" borderId="0" xfId="0" applyNumberFormat="1" applyFont="1" applyBorder="1" applyAlignment="1">
      <alignment vertical="center"/>
    </xf>
    <xf numFmtId="178" fontId="15" fillId="0" borderId="15" xfId="0" applyNumberFormat="1" applyFont="1" applyBorder="1" applyAlignment="1">
      <alignment horizontal="center" vertical="center"/>
    </xf>
    <xf numFmtId="178" fontId="16" fillId="0" borderId="15" xfId="0" applyNumberFormat="1" applyFont="1" applyBorder="1" applyAlignment="1">
      <alignment horizontal="right" vertical="center"/>
    </xf>
    <xf numFmtId="10" fontId="16" fillId="0" borderId="15" xfId="0" applyNumberFormat="1" applyFont="1" applyBorder="1" applyAlignment="1">
      <alignment vertical="center"/>
    </xf>
    <xf numFmtId="0" fontId="16" fillId="0" borderId="15" xfId="0" applyFont="1" applyBorder="1" applyAlignment="1">
      <alignment vertical="center" wrapText="1"/>
    </xf>
    <xf numFmtId="178" fontId="19" fillId="2" borderId="15" xfId="0" applyNumberFormat="1" applyFont="1" applyFill="1" applyBorder="1" applyAlignment="1">
      <alignment horizontal="right" vertical="center"/>
    </xf>
    <xf numFmtId="178" fontId="16" fillId="5" borderId="15" xfId="0" applyNumberFormat="1" applyFont="1" applyFill="1" applyBorder="1" applyAlignment="1">
      <alignment horizontal="right" vertical="center"/>
    </xf>
    <xf numFmtId="10" fontId="16" fillId="5" borderId="15" xfId="0" applyNumberFormat="1" applyFont="1" applyFill="1" applyBorder="1" applyAlignment="1">
      <alignment vertical="center"/>
    </xf>
    <xf numFmtId="0" fontId="16" fillId="0" borderId="15" xfId="0" applyFont="1" applyBorder="1" applyAlignment="1">
      <alignment vertical="center"/>
    </xf>
    <xf numFmtId="0" fontId="17" fillId="4" borderId="43" xfId="0" applyFont="1" applyFill="1" applyBorder="1" applyAlignment="1">
      <alignment horizontal="left" vertical="center"/>
    </xf>
    <xf numFmtId="0" fontId="21" fillId="4" borderId="43" xfId="0" applyFont="1" applyFill="1" applyBorder="1" applyAlignment="1">
      <alignment vertical="center"/>
    </xf>
    <xf numFmtId="0" fontId="16" fillId="2" borderId="15" xfId="0" applyFont="1" applyFill="1" applyBorder="1" applyAlignment="1">
      <alignment horizontal="center" vertical="center"/>
    </xf>
    <xf numFmtId="0" fontId="16" fillId="4" borderId="15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176" fontId="16" fillId="4" borderId="15" xfId="0" applyNumberFormat="1" applyFont="1" applyFill="1" applyBorder="1" applyAlignment="1">
      <alignment vertical="center"/>
    </xf>
    <xf numFmtId="0" fontId="19" fillId="0" borderId="15" xfId="0" applyFont="1" applyBorder="1" applyAlignment="1">
      <alignment vertical="center"/>
    </xf>
    <xf numFmtId="176" fontId="19" fillId="6" borderId="15" xfId="0" applyNumberFormat="1" applyFont="1" applyFill="1" applyBorder="1" applyAlignment="1">
      <alignment vertical="center"/>
    </xf>
    <xf numFmtId="10" fontId="19" fillId="6" borderId="15" xfId="0" applyNumberFormat="1" applyFont="1" applyFill="1" applyBorder="1" applyAlignment="1">
      <alignment vertical="center"/>
    </xf>
    <xf numFmtId="179" fontId="12" fillId="0" borderId="0" xfId="0" applyNumberFormat="1" applyFont="1" applyBorder="1" applyAlignment="1">
      <alignment vertical="center"/>
    </xf>
    <xf numFmtId="49" fontId="12" fillId="0" borderId="0" xfId="0" applyNumberFormat="1" applyFont="1" applyBorder="1" applyAlignment="1">
      <alignment vertical="center"/>
    </xf>
    <xf numFmtId="0" fontId="12" fillId="0" borderId="0" xfId="0" applyFont="1" applyBorder="1" applyAlignment="1">
      <alignment horizontal="center" vertical="center"/>
    </xf>
    <xf numFmtId="179" fontId="23" fillId="0" borderId="47" xfId="0" applyNumberFormat="1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179" fontId="12" fillId="0" borderId="17" xfId="0" applyNumberFormat="1" applyFont="1" applyBorder="1" applyAlignment="1">
      <alignment vertical="center"/>
    </xf>
    <xf numFmtId="179" fontId="12" fillId="0" borderId="17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vertical="center"/>
    </xf>
    <xf numFmtId="49" fontId="12" fillId="0" borderId="17" xfId="0" applyNumberFormat="1" applyFont="1" applyBorder="1" applyAlignment="1">
      <alignment horizontal="center" vertical="center"/>
    </xf>
    <xf numFmtId="180" fontId="12" fillId="0" borderId="15" xfId="0" applyNumberFormat="1" applyFont="1" applyBorder="1" applyAlignment="1">
      <alignment horizontal="center" vertical="center"/>
    </xf>
    <xf numFmtId="179" fontId="12" fillId="0" borderId="15" xfId="0" applyNumberFormat="1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49" fontId="12" fillId="0" borderId="15" xfId="0" applyNumberFormat="1" applyFont="1" applyBorder="1" applyAlignment="1">
      <alignment horizontal="center" vertical="center"/>
    </xf>
    <xf numFmtId="179" fontId="12" fillId="0" borderId="15" xfId="0" applyNumberFormat="1" applyFont="1" applyBorder="1" applyAlignment="1">
      <alignment horizontal="center" vertical="center"/>
    </xf>
    <xf numFmtId="181" fontId="12" fillId="0" borderId="15" xfId="0" applyNumberFormat="1" applyFont="1" applyBorder="1" applyAlignment="1">
      <alignment horizontal="center" vertical="center"/>
    </xf>
    <xf numFmtId="0" fontId="12" fillId="8" borderId="15" xfId="0" applyFont="1" applyFill="1" applyBorder="1" applyAlignment="1">
      <alignment vertical="center"/>
    </xf>
    <xf numFmtId="0" fontId="12" fillId="8" borderId="43" xfId="0" applyFont="1" applyFill="1" applyBorder="1" applyAlignment="1">
      <alignment horizontal="center" vertical="center" wrapText="1"/>
    </xf>
    <xf numFmtId="0" fontId="12" fillId="9" borderId="15" xfId="0" applyFont="1" applyFill="1" applyBorder="1" applyAlignment="1">
      <alignment vertical="center"/>
    </xf>
    <xf numFmtId="0" fontId="12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vertical="center"/>
    </xf>
    <xf numFmtId="0" fontId="25" fillId="0" borderId="0" xfId="0" applyFont="1" applyBorder="1" applyAlignment="1">
      <alignment vertical="center"/>
    </xf>
    <xf numFmtId="179" fontId="12" fillId="0" borderId="0" xfId="0" applyNumberFormat="1" applyFont="1" applyBorder="1" applyAlignment="1">
      <alignment horizontal="center" vertical="center"/>
    </xf>
    <xf numFmtId="0" fontId="26" fillId="0" borderId="0" xfId="0" applyFont="1" applyBorder="1"/>
    <xf numFmtId="0" fontId="28" fillId="4" borderId="43" xfId="0" applyFont="1" applyFill="1" applyBorder="1" applyAlignment="1">
      <alignment horizontal="center" vertical="center"/>
    </xf>
    <xf numFmtId="0" fontId="28" fillId="5" borderId="15" xfId="0" applyFont="1" applyFill="1" applyBorder="1" applyAlignment="1">
      <alignment horizontal="center" vertical="center"/>
    </xf>
    <xf numFmtId="0" fontId="29" fillId="5" borderId="15" xfId="0" applyFont="1" applyFill="1" applyBorder="1" applyAlignment="1">
      <alignment horizontal="center" vertical="center"/>
    </xf>
    <xf numFmtId="0" fontId="29" fillId="5" borderId="15" xfId="0" applyFont="1" applyFill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/>
    </xf>
    <xf numFmtId="178" fontId="28" fillId="0" borderId="15" xfId="0" applyNumberFormat="1" applyFont="1" applyBorder="1" applyAlignment="1">
      <alignment horizontal="center" vertical="center"/>
    </xf>
    <xf numFmtId="178" fontId="28" fillId="0" borderId="15" xfId="0" applyNumberFormat="1" applyFont="1" applyBorder="1" applyAlignment="1">
      <alignment horizontal="center" vertical="center" wrapText="1"/>
    </xf>
    <xf numFmtId="0" fontId="28" fillId="0" borderId="15" xfId="0" applyFont="1" applyBorder="1" applyAlignment="1">
      <alignment horizontal="left" vertical="center" wrapText="1"/>
    </xf>
    <xf numFmtId="178" fontId="26" fillId="0" borderId="0" xfId="0" applyNumberFormat="1" applyFont="1" applyBorder="1"/>
    <xf numFmtId="0" fontId="30" fillId="0" borderId="15" xfId="0" applyFont="1" applyBorder="1" applyAlignment="1">
      <alignment horizontal="center" vertical="center"/>
    </xf>
    <xf numFmtId="0" fontId="28" fillId="11" borderId="43" xfId="0" applyFont="1" applyFill="1" applyBorder="1" applyAlignment="1">
      <alignment horizontal="center" vertical="center"/>
    </xf>
    <xf numFmtId="178" fontId="28" fillId="11" borderId="15" xfId="0" applyNumberFormat="1" applyFont="1" applyFill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32" fillId="4" borderId="43" xfId="0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178" fontId="26" fillId="0" borderId="0" xfId="0" applyNumberFormat="1" applyFont="1" applyBorder="1" applyAlignment="1">
      <alignment horizontal="center" vertical="center"/>
    </xf>
    <xf numFmtId="178" fontId="31" fillId="0" borderId="0" xfId="0" applyNumberFormat="1" applyFont="1" applyBorder="1" applyAlignment="1">
      <alignment horizontal="center" vertical="center"/>
    </xf>
    <xf numFmtId="0" fontId="29" fillId="11" borderId="43" xfId="0" applyFont="1" applyFill="1" applyBorder="1" applyAlignment="1">
      <alignment horizontal="center" vertical="center"/>
    </xf>
    <xf numFmtId="0" fontId="28" fillId="0" borderId="0" xfId="0" applyFont="1" applyBorder="1"/>
    <xf numFmtId="179" fontId="26" fillId="0" borderId="0" xfId="0" applyNumberFormat="1" applyFont="1" applyBorder="1"/>
    <xf numFmtId="14" fontId="12" fillId="0" borderId="15" xfId="0" applyNumberFormat="1" applyFont="1" applyBorder="1" applyAlignment="1">
      <alignment horizontal="center" vertical="center"/>
    </xf>
    <xf numFmtId="14" fontId="12" fillId="0" borderId="17" xfId="0" applyNumberFormat="1" applyFont="1" applyBorder="1" applyAlignment="1">
      <alignment horizontal="center" vertical="center"/>
    </xf>
    <xf numFmtId="0" fontId="33" fillId="0" borderId="0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179" fontId="12" fillId="12" borderId="15" xfId="0" applyNumberFormat="1" applyFont="1" applyFill="1" applyBorder="1" applyAlignment="1">
      <alignment vertical="center"/>
    </xf>
    <xf numFmtId="14" fontId="12" fillId="13" borderId="15" xfId="0" applyNumberFormat="1" applyFont="1" applyFill="1" applyBorder="1" applyAlignment="1">
      <alignment horizontal="center" vertical="center"/>
    </xf>
    <xf numFmtId="0" fontId="12" fillId="13" borderId="15" xfId="0" applyFont="1" applyFill="1" applyBorder="1" applyAlignment="1">
      <alignment horizontal="center" vertical="center"/>
    </xf>
    <xf numFmtId="179" fontId="12" fillId="13" borderId="15" xfId="0" applyNumberFormat="1" applyFont="1" applyFill="1" applyBorder="1" applyAlignment="1">
      <alignment vertical="center"/>
    </xf>
    <xf numFmtId="0" fontId="12" fillId="13" borderId="15" xfId="0" applyFont="1" applyFill="1" applyBorder="1" applyAlignment="1">
      <alignment vertical="center"/>
    </xf>
    <xf numFmtId="49" fontId="12" fillId="13" borderId="15" xfId="0" applyNumberFormat="1" applyFont="1" applyFill="1" applyBorder="1" applyAlignment="1">
      <alignment horizontal="center" vertical="center"/>
    </xf>
    <xf numFmtId="179" fontId="12" fillId="13" borderId="15" xfId="0" applyNumberFormat="1" applyFont="1" applyFill="1" applyBorder="1" applyAlignment="1">
      <alignment horizontal="center" vertical="center"/>
    </xf>
    <xf numFmtId="0" fontId="12" fillId="13" borderId="0" xfId="0" applyFont="1" applyFill="1" applyBorder="1" applyAlignment="1">
      <alignment horizontal="center" vertical="center"/>
    </xf>
    <xf numFmtId="0" fontId="12" fillId="13" borderId="0" xfId="0" applyFont="1" applyFill="1" applyBorder="1" applyAlignment="1">
      <alignment horizontal="center" vertical="center" wrapText="1"/>
    </xf>
    <xf numFmtId="0" fontId="0" fillId="13" borderId="0" xfId="0" applyFill="1" applyBorder="1" applyAlignment="1">
      <alignment vertical="center"/>
    </xf>
    <xf numFmtId="3" fontId="12" fillId="0" borderId="15" xfId="0" applyNumberFormat="1" applyFont="1" applyBorder="1" applyAlignment="1">
      <alignment vertical="center"/>
    </xf>
    <xf numFmtId="14" fontId="12" fillId="0" borderId="21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79" fontId="12" fillId="0" borderId="21" xfId="0" applyNumberFormat="1" applyFont="1" applyBorder="1" applyAlignment="1">
      <alignment vertical="center"/>
    </xf>
    <xf numFmtId="3" fontId="12" fillId="0" borderId="21" xfId="0" applyNumberFormat="1" applyFont="1" applyBorder="1" applyAlignment="1">
      <alignment vertical="center"/>
    </xf>
    <xf numFmtId="14" fontId="12" fillId="0" borderId="50" xfId="0" applyNumberFormat="1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179" fontId="12" fillId="0" borderId="50" xfId="0" applyNumberFormat="1" applyFont="1" applyBorder="1" applyAlignment="1">
      <alignment vertical="center"/>
    </xf>
    <xf numFmtId="3" fontId="12" fillId="0" borderId="50" xfId="0" applyNumberFormat="1" applyFont="1" applyBorder="1" applyAlignment="1">
      <alignment vertical="center"/>
    </xf>
    <xf numFmtId="179" fontId="12" fillId="0" borderId="52" xfId="0" applyNumberFormat="1" applyFont="1" applyBorder="1" applyAlignment="1">
      <alignment vertical="center"/>
    </xf>
    <xf numFmtId="14" fontId="12" fillId="0" borderId="53" xfId="0" applyNumberFormat="1" applyFont="1" applyBorder="1" applyAlignment="1">
      <alignment horizontal="center" vertical="center"/>
    </xf>
    <xf numFmtId="0" fontId="12" fillId="0" borderId="53" xfId="0" applyFont="1" applyBorder="1" applyAlignment="1">
      <alignment horizontal="center" vertical="center"/>
    </xf>
    <xf numFmtId="179" fontId="12" fillId="0" borderId="55" xfId="0" applyNumberFormat="1" applyFont="1" applyBorder="1" applyAlignment="1">
      <alignment vertical="center"/>
    </xf>
    <xf numFmtId="3" fontId="12" fillId="0" borderId="53" xfId="0" applyNumberFormat="1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2" fillId="0" borderId="50" xfId="0" applyFont="1" applyBorder="1" applyAlignment="1">
      <alignment vertical="center"/>
    </xf>
    <xf numFmtId="0" fontId="12" fillId="0" borderId="51" xfId="0" applyFont="1" applyBorder="1" applyAlignment="1">
      <alignment vertical="center"/>
    </xf>
    <xf numFmtId="0" fontId="33" fillId="0" borderId="54" xfId="0" applyFont="1" applyBorder="1" applyAlignment="1">
      <alignment vertical="center"/>
    </xf>
    <xf numFmtId="49" fontId="12" fillId="0" borderId="41" xfId="0" applyNumberFormat="1" applyFont="1" applyBorder="1" applyAlignment="1">
      <alignment horizontal="center" vertical="center"/>
    </xf>
    <xf numFmtId="182" fontId="0" fillId="0" borderId="0" xfId="0" applyNumberFormat="1" applyBorder="1" applyAlignment="1">
      <alignment vertical="center"/>
    </xf>
    <xf numFmtId="178" fontId="29" fillId="11" borderId="43" xfId="0" applyNumberFormat="1" applyFont="1" applyFill="1" applyBorder="1" applyAlignment="1">
      <alignment horizontal="center" vertical="center"/>
    </xf>
    <xf numFmtId="0" fontId="35" fillId="0" borderId="45" xfId="0" applyFont="1" applyBorder="1" applyAlignment="1">
      <alignment horizontal="center" vertical="center"/>
    </xf>
    <xf numFmtId="0" fontId="35" fillId="0" borderId="46" xfId="0" applyFont="1" applyBorder="1" applyAlignment="1">
      <alignment horizontal="center" vertical="center"/>
    </xf>
    <xf numFmtId="179" fontId="35" fillId="0" borderId="46" xfId="0" applyNumberFormat="1" applyFont="1" applyBorder="1" applyAlignment="1">
      <alignment horizontal="center" vertical="center"/>
    </xf>
    <xf numFmtId="0" fontId="0" fillId="0" borderId="0" xfId="0" applyBorder="1"/>
    <xf numFmtId="0" fontId="42" fillId="16" borderId="76" xfId="0" applyFont="1" applyFill="1" applyBorder="1" applyAlignment="1">
      <alignment horizontal="center"/>
    </xf>
    <xf numFmtId="0" fontId="43" fillId="0" borderId="76" xfId="0" applyFont="1" applyBorder="1" applyAlignment="1">
      <alignment horizontal="center"/>
    </xf>
    <xf numFmtId="0" fontId="44" fillId="0" borderId="76" xfId="0" applyFont="1" applyBorder="1"/>
    <xf numFmtId="3" fontId="44" fillId="0" borderId="76" xfId="0" applyNumberFormat="1" applyFont="1" applyBorder="1"/>
    <xf numFmtId="3" fontId="45" fillId="0" borderId="76" xfId="0" applyNumberFormat="1" applyFont="1" applyBorder="1"/>
    <xf numFmtId="3" fontId="43" fillId="0" borderId="76" xfId="0" applyNumberFormat="1" applyFont="1" applyBorder="1"/>
    <xf numFmtId="184" fontId="44" fillId="0" borderId="76" xfId="0" applyNumberFormat="1" applyFont="1" applyBorder="1" applyAlignment="1">
      <alignment horizontal="center"/>
    </xf>
    <xf numFmtId="0" fontId="43" fillId="17" borderId="76" xfId="0" applyFont="1" applyFill="1" applyBorder="1" applyAlignment="1">
      <alignment horizontal="center"/>
    </xf>
    <xf numFmtId="0" fontId="44" fillId="17" borderId="76" xfId="0" applyFont="1" applyFill="1" applyBorder="1"/>
    <xf numFmtId="3" fontId="44" fillId="17" borderId="76" xfId="0" applyNumberFormat="1" applyFont="1" applyFill="1" applyBorder="1"/>
    <xf numFmtId="3" fontId="45" fillId="17" borderId="76" xfId="0" applyNumberFormat="1" applyFont="1" applyFill="1" applyBorder="1"/>
    <xf numFmtId="3" fontId="43" fillId="17" borderId="76" xfId="0" applyNumberFormat="1" applyFont="1" applyFill="1" applyBorder="1"/>
    <xf numFmtId="184" fontId="44" fillId="17" borderId="76" xfId="0" applyNumberFormat="1" applyFont="1" applyFill="1" applyBorder="1" applyAlignment="1">
      <alignment horizontal="center"/>
    </xf>
    <xf numFmtId="0" fontId="1" fillId="0" borderId="73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3" fontId="3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1" fillId="0" borderId="15" xfId="0" applyFont="1" applyBorder="1" applyAlignment="1">
      <alignment horizontal="center" vertical="center"/>
    </xf>
    <xf numFmtId="0" fontId="0" fillId="0" borderId="17" xfId="0" applyBorder="1"/>
    <xf numFmtId="0" fontId="8" fillId="0" borderId="48" xfId="0" applyFont="1" applyAlignment="1">
      <alignment horizontal="center" vertical="center" wrapText="1"/>
    </xf>
    <xf numFmtId="0" fontId="0" fillId="0" borderId="0" xfId="0" applyBorder="1"/>
    <xf numFmtId="0" fontId="1" fillId="0" borderId="57" xfId="0" applyFont="1" applyBorder="1" applyAlignment="1">
      <alignment horizontal="center" vertical="center"/>
    </xf>
    <xf numFmtId="0" fontId="0" fillId="0" borderId="16" xfId="0" applyBorder="1"/>
    <xf numFmtId="10" fontId="1" fillId="0" borderId="20" xfId="0" applyNumberFormat="1" applyFont="1" applyBorder="1" applyAlignment="1">
      <alignment horizontal="center" vertical="center"/>
    </xf>
    <xf numFmtId="0" fontId="0" fillId="0" borderId="20" xfId="0" applyBorder="1"/>
    <xf numFmtId="0" fontId="1" fillId="0" borderId="16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 wrapText="1"/>
    </xf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1" fillId="0" borderId="72" xfId="0" applyFont="1" applyBorder="1" applyAlignment="1">
      <alignment horizontal="center" vertical="center"/>
    </xf>
    <xf numFmtId="0" fontId="0" fillId="0" borderId="5" xfId="0" applyBorder="1"/>
    <xf numFmtId="3" fontId="3" fillId="0" borderId="17" xfId="0" applyNumberFormat="1" applyFont="1" applyBorder="1" applyAlignment="1">
      <alignment horizontal="center" vertical="center"/>
    </xf>
    <xf numFmtId="0" fontId="0" fillId="0" borderId="28" xfId="0" applyBorder="1"/>
    <xf numFmtId="3" fontId="8" fillId="0" borderId="48" xfId="0" applyNumberFormat="1" applyFont="1" applyAlignment="1">
      <alignment horizontal="center" vertical="center" wrapText="1"/>
    </xf>
    <xf numFmtId="49" fontId="1" fillId="0" borderId="64" xfId="0" applyNumberFormat="1" applyFont="1" applyBorder="1" applyAlignment="1">
      <alignment horizontal="center" vertical="center"/>
    </xf>
    <xf numFmtId="10" fontId="1" fillId="0" borderId="70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 vertical="center"/>
    </xf>
    <xf numFmtId="0" fontId="0" fillId="0" borderId="14" xfId="0" applyBorder="1"/>
    <xf numFmtId="0" fontId="5" fillId="0" borderId="48" xfId="0" applyFont="1" applyAlignment="1">
      <alignment horizontal="center" vertical="center" wrapText="1"/>
    </xf>
    <xf numFmtId="49" fontId="1" fillId="0" borderId="70" xfId="0" applyNumberFormat="1" applyFont="1" applyBorder="1" applyAlignment="1">
      <alignment horizontal="center" vertical="center"/>
    </xf>
    <xf numFmtId="0" fontId="7" fillId="0" borderId="48" xfId="0" applyFont="1" applyAlignment="1">
      <alignment horizontal="center" vertical="center" wrapText="1"/>
    </xf>
    <xf numFmtId="10" fontId="1" fillId="0" borderId="64" xfId="0" applyNumberFormat="1" applyFont="1" applyBorder="1" applyAlignment="1">
      <alignment horizontal="center" vertical="center"/>
    </xf>
    <xf numFmtId="3" fontId="3" fillId="0" borderId="22" xfId="0" applyNumberFormat="1" applyFont="1" applyBorder="1" applyAlignment="1">
      <alignment horizontal="center" vertical="center"/>
    </xf>
    <xf numFmtId="0" fontId="0" fillId="0" borderId="23" xfId="0" applyBorder="1"/>
    <xf numFmtId="49" fontId="1" fillId="0" borderId="59" xfId="0" applyNumberFormat="1" applyFont="1" applyBorder="1" applyAlignment="1">
      <alignment horizontal="center" vertical="center"/>
    </xf>
    <xf numFmtId="0" fontId="0" fillId="0" borderId="29" xfId="0" applyBorder="1"/>
    <xf numFmtId="3" fontId="3" fillId="0" borderId="65" xfId="0" applyNumberFormat="1" applyFont="1" applyBorder="1" applyAlignment="1">
      <alignment horizontal="center" vertical="center"/>
    </xf>
    <xf numFmtId="0" fontId="0" fillId="0" borderId="32" xfId="0" applyBorder="1"/>
    <xf numFmtId="10" fontId="1" fillId="0" borderId="63" xfId="0" applyNumberFormat="1" applyFont="1" applyBorder="1" applyAlignment="1">
      <alignment horizontal="center" vertical="center"/>
    </xf>
    <xf numFmtId="0" fontId="0" fillId="0" borderId="40" xfId="0" applyBorder="1"/>
    <xf numFmtId="3" fontId="3" fillId="0" borderId="12" xfId="0" applyNumberFormat="1" applyFont="1" applyBorder="1" applyAlignment="1">
      <alignment horizontal="center" vertical="center"/>
    </xf>
    <xf numFmtId="0" fontId="0" fillId="0" borderId="27" xfId="0" applyBorder="1"/>
    <xf numFmtId="3" fontId="3" fillId="0" borderId="61" xfId="0" applyNumberFormat="1" applyFont="1" applyBorder="1" applyAlignment="1">
      <alignment horizontal="center" vertical="center"/>
    </xf>
    <xf numFmtId="0" fontId="0" fillId="0" borderId="39" xfId="0" applyBorder="1"/>
    <xf numFmtId="10" fontId="5" fillId="0" borderId="48" xfId="0" applyNumberFormat="1" applyFont="1" applyAlignment="1">
      <alignment horizontal="center" vertical="center" wrapText="1"/>
    </xf>
    <xf numFmtId="3" fontId="3" fillId="0" borderId="67" xfId="0" applyNumberFormat="1" applyFont="1" applyBorder="1" applyAlignment="1">
      <alignment horizontal="center" vertical="center"/>
    </xf>
    <xf numFmtId="0" fontId="0" fillId="0" borderId="56" xfId="0" applyBorder="1"/>
    <xf numFmtId="0" fontId="1" fillId="0" borderId="17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0" fillId="0" borderId="33" xfId="0" applyBorder="1"/>
    <xf numFmtId="0" fontId="0" fillId="0" borderId="36" xfId="0" applyBorder="1"/>
    <xf numFmtId="0" fontId="0" fillId="0" borderId="37" xfId="0" applyBorder="1"/>
    <xf numFmtId="49" fontId="1" fillId="0" borderId="63" xfId="0" applyNumberFormat="1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1" fillId="0" borderId="61" xfId="0" applyFont="1" applyBorder="1" applyAlignment="1">
      <alignment horizontal="center" vertical="center"/>
    </xf>
    <xf numFmtId="0" fontId="0" fillId="0" borderId="38" xfId="0" applyBorder="1"/>
    <xf numFmtId="0" fontId="1" fillId="0" borderId="71" xfId="0" applyFont="1" applyBorder="1" applyAlignment="1">
      <alignment horizontal="center" vertical="center" wrapText="1"/>
    </xf>
    <xf numFmtId="0" fontId="0" fillId="0" borderId="4" xfId="0" applyBorder="1"/>
    <xf numFmtId="49" fontId="1" fillId="0" borderId="20" xfId="0" applyNumberFormat="1" applyFont="1" applyBorder="1" applyAlignment="1">
      <alignment horizontal="center" vertical="center"/>
    </xf>
    <xf numFmtId="3" fontId="3" fillId="0" borderId="62" xfId="0" applyNumberFormat="1" applyFont="1" applyBorder="1" applyAlignment="1">
      <alignment horizontal="center" vertical="center"/>
    </xf>
    <xf numFmtId="0" fontId="0" fillId="0" borderId="26" xfId="0" applyBorder="1"/>
    <xf numFmtId="3" fontId="3" fillId="0" borderId="60" xfId="0" applyNumberFormat="1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0" fillId="0" borderId="10" xfId="0" applyBorder="1"/>
    <xf numFmtId="0" fontId="4" fillId="0" borderId="48" xfId="0" applyFont="1" applyAlignment="1">
      <alignment wrapText="1"/>
    </xf>
    <xf numFmtId="3" fontId="3" fillId="0" borderId="11" xfId="0" applyNumberFormat="1" applyFont="1" applyBorder="1" applyAlignment="1">
      <alignment horizontal="center" vertical="center"/>
    </xf>
    <xf numFmtId="0" fontId="0" fillId="0" borderId="25" xfId="0" applyBorder="1"/>
    <xf numFmtId="0" fontId="1" fillId="0" borderId="69" xfId="0" applyFont="1" applyBorder="1" applyAlignment="1">
      <alignment horizontal="center" vertical="center"/>
    </xf>
    <xf numFmtId="0" fontId="0" fillId="0" borderId="9" xfId="0" applyBorder="1"/>
    <xf numFmtId="10" fontId="1" fillId="0" borderId="24" xfId="0" applyNumberFormat="1" applyFont="1" applyBorder="1" applyAlignment="1">
      <alignment horizontal="center" vertical="center"/>
    </xf>
    <xf numFmtId="0" fontId="0" fillId="0" borderId="24" xfId="0" applyBorder="1"/>
    <xf numFmtId="49" fontId="1" fillId="0" borderId="29" xfId="0" applyNumberFormat="1" applyFont="1" applyBorder="1" applyAlignment="1">
      <alignment horizontal="center" vertical="center"/>
    </xf>
    <xf numFmtId="49" fontId="1" fillId="0" borderId="66" xfId="0" applyNumberFormat="1" applyFont="1" applyBorder="1" applyAlignment="1">
      <alignment horizontal="center" vertical="center"/>
    </xf>
    <xf numFmtId="0" fontId="0" fillId="0" borderId="31" xfId="0" applyBorder="1"/>
    <xf numFmtId="0" fontId="15" fillId="0" borderId="15" xfId="0" applyFont="1" applyBorder="1" applyAlignment="1">
      <alignment horizontal="center" vertical="center"/>
    </xf>
    <xf numFmtId="0" fontId="0" fillId="0" borderId="42" xfId="0" applyBorder="1"/>
    <xf numFmtId="0" fontId="16" fillId="3" borderId="15" xfId="0" applyFont="1" applyFill="1" applyBorder="1" applyAlignment="1">
      <alignment horizontal="center" vertical="center"/>
    </xf>
    <xf numFmtId="0" fontId="0" fillId="0" borderId="11" xfId="0" applyBorder="1"/>
    <xf numFmtId="0" fontId="16" fillId="2" borderId="15" xfId="0" applyFont="1" applyFill="1" applyBorder="1" applyAlignment="1">
      <alignment horizontal="center" vertical="center"/>
    </xf>
    <xf numFmtId="0" fontId="0" fillId="0" borderId="49" xfId="0" applyBorder="1"/>
    <xf numFmtId="0" fontId="16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178" fontId="15" fillId="0" borderId="15" xfId="0" applyNumberFormat="1" applyFont="1" applyBorder="1" applyAlignment="1">
      <alignment horizontal="center" vertical="center"/>
    </xf>
    <xf numFmtId="0" fontId="19" fillId="6" borderId="15" xfId="0" applyFont="1" applyFill="1" applyBorder="1" applyAlignment="1">
      <alignment horizontal="center" vertical="center"/>
    </xf>
    <xf numFmtId="0" fontId="17" fillId="4" borderId="48" xfId="0" applyFont="1" applyFill="1" applyAlignment="1">
      <alignment horizontal="left" vertical="center"/>
    </xf>
    <xf numFmtId="0" fontId="12" fillId="9" borderId="48" xfId="0" applyFont="1" applyFill="1" applyAlignment="1">
      <alignment horizontal="center" vertical="center" wrapText="1"/>
    </xf>
    <xf numFmtId="179" fontId="12" fillId="0" borderId="48" xfId="0" applyNumberFormat="1" applyFont="1" applyAlignment="1">
      <alignment horizontal="center" vertical="center"/>
    </xf>
    <xf numFmtId="0" fontId="12" fillId="8" borderId="48" xfId="0" applyFont="1" applyFill="1" applyAlignment="1">
      <alignment horizontal="center" vertical="center" wrapText="1"/>
    </xf>
    <xf numFmtId="0" fontId="22" fillId="7" borderId="48" xfId="0" applyFont="1" applyFill="1" applyAlignment="1">
      <alignment horizontal="center" vertical="center"/>
    </xf>
    <xf numFmtId="0" fontId="27" fillId="10" borderId="41" xfId="0" applyFont="1" applyFill="1" applyBorder="1" applyAlignment="1">
      <alignment horizontal="center" vertical="center"/>
    </xf>
    <xf numFmtId="0" fontId="37" fillId="0" borderId="0" xfId="0" applyFont="1" applyBorder="1" applyAlignment="1">
      <alignment horizontal="left" vertical="center"/>
    </xf>
    <xf numFmtId="0" fontId="38" fillId="0" borderId="0" xfId="0" applyFont="1" applyBorder="1" applyAlignment="1">
      <alignment horizontal="left" vertical="center"/>
    </xf>
    <xf numFmtId="0" fontId="41" fillId="0" borderId="0" xfId="0" applyFont="1" applyBorder="1"/>
    <xf numFmtId="0" fontId="36" fillId="0" borderId="0" xfId="0" applyFont="1" applyBorder="1" applyAlignment="1">
      <alignment horizontal="left" vertical="center"/>
    </xf>
    <xf numFmtId="183" fontId="39" fillId="14" borderId="0" xfId="0" applyNumberFormat="1" applyFont="1" applyFill="1" applyBorder="1" applyAlignment="1">
      <alignment horizontal="left" vertical="center"/>
    </xf>
    <xf numFmtId="0" fontId="0" fillId="14" borderId="0" xfId="0" applyFill="1" applyBorder="1"/>
    <xf numFmtId="0" fontId="0" fillId="14" borderId="74" xfId="0" applyFill="1" applyBorder="1"/>
    <xf numFmtId="0" fontId="40" fillId="0" borderId="0" xfId="0" applyFont="1" applyBorder="1"/>
    <xf numFmtId="183" fontId="39" fillId="15" borderId="0" xfId="0" applyNumberFormat="1" applyFont="1" applyFill="1" applyBorder="1" applyAlignment="1">
      <alignment horizontal="left" vertical="center"/>
    </xf>
    <xf numFmtId="0" fontId="0" fillId="15" borderId="0" xfId="0" applyFill="1" applyBorder="1"/>
    <xf numFmtId="0" fontId="0" fillId="15" borderId="75" xfId="0" applyFill="1" applyBorder="1"/>
    <xf numFmtId="184" fontId="39" fillId="14" borderId="0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N175">
  <autoFilter ref="A4:N175" xr:uid="{00000000-0009-0000-0100-000001000000}"/>
  <tableColumns count="14">
    <tableColumn id="1" xr3:uid="{00000000-0010-0000-0000-000001000000}" name="날짜"/>
    <tableColumn id="2" xr3:uid="{00000000-0010-0000-0000-000002000000}" name="예산계정"/>
    <tableColumn id="3" xr3:uid="{00000000-0010-0000-0000-000003000000}" name="내용 및 목적"/>
    <tableColumn id="4" xr3:uid="{00000000-0010-0000-0000-000004000000}" name="수입"/>
    <tableColumn id="5" xr3:uid="{00000000-0010-0000-0000-000005000000}" name="지출"/>
    <tableColumn id="6" xr3:uid="{00000000-0010-0000-0000-000006000000}" name="수입(각출)"/>
    <tableColumn id="7" xr3:uid="{00000000-0010-0000-0000-000007000000}" name="잔액"/>
    <tableColumn id="8" xr3:uid="{00000000-0010-0000-0000-000008000000}" name="내용"/>
    <tableColumn id="9" xr3:uid="{00000000-0010-0000-0000-000009000000}" name="정산일"/>
    <tableColumn id="10" xr3:uid="{00000000-0010-0000-0000-00000A000000}" name="지불자"/>
    <tableColumn id="11" xr3:uid="{00000000-0010-0000-0000-00000B000000}" name="입금은행명"/>
    <tableColumn id="12" xr3:uid="{00000000-0010-0000-0000-00000C000000}" name="계좌번호"/>
    <tableColumn id="13" xr3:uid="{00000000-0010-0000-0000-00000D000000}" name="기타"/>
    <tableColumn id="14" xr3:uid="{00000000-0010-0000-0000-00000E000000}" name="확인"/>
  </tableColumns>
  <tableStyleInfo name="3. 5기 수입지출장부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77:A189">
  <tableColumns count="1">
    <tableColumn id="1" xr3:uid="{00000000-0010-0000-0100-000001000000}" name="총무"/>
  </tableColumns>
  <tableStyleInfo name="3. 5기 수입지출장부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177:B180">
  <tableColumns count="1">
    <tableColumn id="1" xr3:uid="{00000000-0010-0000-0200-000001000000}" name="교육선전"/>
  </tableColumns>
  <tableStyleInfo name="3. 5기 수입지출장부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C177:C179">
  <tableColumns count="1">
    <tableColumn id="1" xr3:uid="{00000000-0010-0000-0300-000001000000}" name="대외협력"/>
  </tableColumns>
  <tableStyleInfo name="3. 5기 수입지출장부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D177:D179">
  <tableColumns count="1">
    <tableColumn id="1" xr3:uid="{00000000-0010-0000-0400-000001000000}" name="정책기획"/>
  </tableColumns>
  <tableStyleInfo name="3. 5기 수입지출장부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E177:E181">
  <tableColumns count="1">
    <tableColumn id="1" xr3:uid="{00000000-0010-0000-0500-000001000000}" name="조직강화"/>
  </tableColumns>
  <tableStyleInfo name="3. 5기 수입지출장부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F177:F180">
  <tableColumns count="1">
    <tableColumn id="1" xr3:uid="{00000000-0010-0000-0600-000001000000}" name="선대본"/>
  </tableColumns>
  <tableStyleInfo name="3. 5기 수입지출장부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G177:G184">
  <tableColumns count="1">
    <tableColumn id="1" xr3:uid="{00000000-0010-0000-0700-000001000000}" name="수입"/>
  </tableColumns>
  <tableStyleInfo name="3. 5기 수입지출장부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H177:H180">
  <tableColumns count="1">
    <tableColumn id="1" xr3:uid="{00000000-0010-0000-0800-000001000000}" name="가예산"/>
  </tableColumns>
  <tableStyleInfo name="3. 5기 수입지출장부-style 9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Relationship Id="rId6" Type="http://schemas.openxmlformats.org/officeDocument/2006/relationships/table" Target="../tables/table5.xml"/><Relationship Id="rId11" Type="http://schemas.openxmlformats.org/officeDocument/2006/relationships/comments" Target="../comments2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AP1002"/>
  <sheetViews>
    <sheetView showGridLines="0" workbookViewId="0">
      <selection activeCell="AB4" sqref="AB4"/>
    </sheetView>
  </sheetViews>
  <sheetFormatPr defaultColWidth="14.42578125" defaultRowHeight="15"/>
  <cols>
    <col min="1" max="1" width="9" style="158" customWidth="1"/>
    <col min="2" max="2" width="3.28515625" style="158" customWidth="1"/>
    <col min="3" max="3" width="12.28515625" style="158" customWidth="1"/>
    <col min="4" max="4" width="6.28515625" style="158" customWidth="1"/>
    <col min="5" max="7" width="4" style="158" customWidth="1"/>
    <col min="8" max="16" width="3.5703125" style="158" customWidth="1"/>
    <col min="17" max="17" width="8.42578125" style="158" customWidth="1"/>
    <col min="18" max="18" width="1.85546875" style="158" customWidth="1"/>
    <col min="19" max="19" width="8.85546875" style="158" customWidth="1"/>
    <col min="20" max="20" width="13.7109375" style="158" customWidth="1"/>
    <col min="21" max="23" width="3.7109375" style="158" customWidth="1"/>
    <col min="24" max="28" width="13.28515625" style="158" customWidth="1"/>
    <col min="29" max="29" width="15.85546875" style="158" customWidth="1"/>
    <col min="30" max="39" width="4.28515625" style="158" customWidth="1"/>
    <col min="40" max="40" width="8.7109375" style="158" customWidth="1"/>
    <col min="41" max="41" width="13.85546875" style="158" customWidth="1"/>
    <col min="42" max="42" width="4.28515625" style="158" customWidth="1"/>
  </cols>
  <sheetData>
    <row r="1" spans="1:42" ht="13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49.5" customHeight="1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33" customHeight="1">
      <c r="A3" s="1"/>
      <c r="B3" s="2" t="s">
        <v>275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27.75" customHeight="1">
      <c r="A4" s="3"/>
      <c r="B4" s="229" t="s">
        <v>276</v>
      </c>
      <c r="C4" s="190" t="s">
        <v>277</v>
      </c>
      <c r="D4" s="190"/>
      <c r="E4" s="172" t="s">
        <v>278</v>
      </c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4"/>
      <c r="Q4" s="186" t="s">
        <v>279</v>
      </c>
      <c r="R4" s="187"/>
      <c r="S4" s="240" t="s">
        <v>280</v>
      </c>
      <c r="T4" s="235" t="s">
        <v>281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spans="1:42" ht="27" customHeight="1">
      <c r="A5" s="3"/>
      <c r="B5" s="230"/>
      <c r="C5" s="191"/>
      <c r="D5" s="191"/>
      <c r="E5" s="4">
        <v>1</v>
      </c>
      <c r="F5" s="4">
        <v>2</v>
      </c>
      <c r="G5" s="4">
        <v>3</v>
      </c>
      <c r="H5" s="4">
        <v>4</v>
      </c>
      <c r="I5" s="4">
        <v>5</v>
      </c>
      <c r="J5" s="4">
        <v>6</v>
      </c>
      <c r="K5" s="4">
        <v>7</v>
      </c>
      <c r="L5" s="4">
        <v>8</v>
      </c>
      <c r="M5" s="4">
        <v>9</v>
      </c>
      <c r="N5" s="4">
        <v>10</v>
      </c>
      <c r="O5" s="4">
        <v>11</v>
      </c>
      <c r="P5" s="4">
        <v>12</v>
      </c>
      <c r="Q5" s="188"/>
      <c r="R5" s="189"/>
      <c r="S5" s="241"/>
      <c r="T5" s="236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</row>
    <row r="6" spans="1:42" ht="24.75" customHeight="1">
      <c r="A6" s="3"/>
      <c r="B6" s="185">
        <v>1</v>
      </c>
      <c r="C6" s="218" t="s">
        <v>49</v>
      </c>
      <c r="D6" s="6" t="s">
        <v>282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197">
        <f>'2. 5기_예산목간'!D24</f>
        <v>3300000</v>
      </c>
      <c r="R6" s="198"/>
      <c r="S6" s="196">
        <f>Q7/Q6</f>
        <v>0.24242424242424243</v>
      </c>
      <c r="T6" s="200" t="s">
        <v>283</v>
      </c>
      <c r="U6" s="3"/>
      <c r="V6" s="3"/>
      <c r="W6" s="3"/>
      <c r="X6" s="8" t="s">
        <v>283</v>
      </c>
      <c r="Y6" s="8" t="s">
        <v>284</v>
      </c>
      <c r="Z6" s="8" t="s">
        <v>285</v>
      </c>
      <c r="AA6" s="8" t="s">
        <v>286</v>
      </c>
      <c r="AB6" s="8" t="s">
        <v>287</v>
      </c>
      <c r="AC6" s="8" t="s">
        <v>288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</row>
    <row r="7" spans="1:42" ht="24.75" customHeight="1">
      <c r="A7" s="3"/>
      <c r="B7" s="182"/>
      <c r="C7" s="178"/>
      <c r="D7" s="9" t="s">
        <v>280</v>
      </c>
      <c r="E7" s="9" t="str">
        <f>IF(COUNTIFS('3. 5기 수입지출장부'!$C$5:$C$2003,$C6,'3. 5기 수입지출장부'!$A$5:$A$2003,"&gt;="&amp;DATE(2026,E$5,1),'3. 5기 수입지출장부'!$A$5:$A$2003,"&lt;"&amp;DATE(2026,E$5+1,1),'3. 5기 수입지출장부'!$E$5:$E$2003,"&gt;0")&gt;0,"■","")</f>
        <v/>
      </c>
      <c r="F7" s="9" t="str">
        <f>IF(COUNTIFS('3. 5기 수입지출장부'!$C$5:$C$2003,$C6,'3. 5기 수입지출장부'!$A$5:$A$2003,"&gt;="&amp;DATE(2026,F$5,1),'3. 5기 수입지출장부'!$A$5:$A$2003,"&lt;"&amp;DATE(2026,F$5+1,1),'3. 5기 수입지출장부'!$E$5:$E$2003,"&gt;0")&gt;0,"■","")</f>
        <v/>
      </c>
      <c r="G7" s="9" t="str">
        <f>IF(COUNTIFS('3. 5기 수입지출장부'!$C$5:$C$2003,$C6,'3. 5기 수입지출장부'!$A$5:$A$2003,"&gt;="&amp;DATE(2026,G$5,1),'3. 5기 수입지출장부'!$A$5:$A$2003,"&lt;"&amp;DATE(2026,G$5+1,1),'3. 5기 수입지출장부'!$E$5:$E$2003,"&gt;0")&gt;0,"■","")</f>
        <v>■</v>
      </c>
      <c r="H7" s="9" t="str">
        <f>IF(COUNTIFS('3. 5기 수입지출장부'!$C$5:$C$2003,$C6,'3. 5기 수입지출장부'!$A$5:$A$2003,"&gt;="&amp;DATE(2026,H$5,1),'3. 5기 수입지출장부'!$A$5:$A$2003,"&lt;"&amp;DATE(2026,H$5+1,1),'3. 5기 수입지출장부'!$E$5:$E$2003,"&gt;0")&gt;0,"■","")</f>
        <v/>
      </c>
      <c r="I7" s="9" t="str">
        <f>IF(COUNTIFS('3. 5기 수입지출장부'!$C$5:$C$2003,$C6,'3. 5기 수입지출장부'!$A$5:$A$2003,"&gt;="&amp;DATE(2026,I$5,1),'3. 5기 수입지출장부'!$A$5:$A$2003,"&lt;"&amp;DATE(2026,I$5+1,1),'3. 5기 수입지출장부'!$E$5:$E$2003,"&gt;0")&gt;0,"■","")</f>
        <v/>
      </c>
      <c r="J7" s="9" t="str">
        <f>IF(COUNTIFS('3. 5기 수입지출장부'!$C$5:$C$2003,$C6,'3. 5기 수입지출장부'!$A$5:$A$2003,"&gt;="&amp;DATE(2026,J$5,1),'3. 5기 수입지출장부'!$A$5:$A$2003,"&lt;"&amp;DATE(2026,J$5+1,1),'3. 5기 수입지출장부'!$E$5:$E$2003,"&gt;0")&gt;0,"■","")</f>
        <v>■</v>
      </c>
      <c r="K7" s="9" t="str">
        <f>IF(COUNTIFS('3. 5기 수입지출장부'!$C$5:$C$2003,$C6,'3. 5기 수입지출장부'!$A$5:$A$2003,"&gt;="&amp;DATE(2026,K$5,1),'3. 5기 수입지출장부'!$A$5:$A$2003,"&lt;"&amp;DATE(2026,K$5+1,1),'3. 5기 수입지출장부'!$E$5:$E$2003,"&gt;0")&gt;0,"■","")</f>
        <v>■</v>
      </c>
      <c r="L7" s="9" t="str">
        <f>IF(COUNTIFS('3. 5기 수입지출장부'!$C$5:$C$2003,$C6,'3. 5기 수입지출장부'!$A$5:$A$2003,"&gt;="&amp;DATE(2026,L$5,1),'3. 5기 수입지출장부'!$A$5:$A$2003,"&lt;"&amp;DATE(2026,L$5+1,1),'3. 5기 수입지출장부'!$E$5:$E$2003,"&gt;0")&gt;0,"■","")</f>
        <v/>
      </c>
      <c r="M7" s="9" t="str">
        <f>IF(COUNTIFS('3. 5기 수입지출장부'!$C$5:$C$2003,$C6,'3. 5기 수입지출장부'!$A$5:$A$2003,"&gt;="&amp;DATE(2026,M$5,1),'3. 5기 수입지출장부'!$A$5:$A$2003,"&lt;"&amp;DATE(2026,M$5+1,1),'3. 5기 수입지출장부'!$E$5:$E$2003,"&gt;0")&gt;0,"■","")</f>
        <v/>
      </c>
      <c r="N7" s="9" t="str">
        <f>IF(COUNTIFS('3. 5기 수입지출장부'!$C$5:$C$2003,$C6,'3. 5기 수입지출장부'!$A$5:$A$2003,"&gt;="&amp;DATE(2026,N$5,1),'3. 5기 수입지출장부'!$A$5:$A$2003,"&lt;"&amp;DATE(2026,N$5+1,1),'3. 5기 수입지출장부'!$E$5:$E$2003,"&gt;0")&gt;0,"■","")</f>
        <v/>
      </c>
      <c r="O7" s="9" t="str">
        <f>IF(COUNTIFS('3. 5기 수입지출장부'!$C$5:$C$2003,$C6,'3. 5기 수입지출장부'!$A$5:$A$2003,"&gt;="&amp;DATE(2026,O$5,1),'3. 5기 수입지출장부'!$A$5:$A$2003,"&lt;"&amp;DATE(2026,O$5+1,1),'3. 5기 수입지출장부'!$E$5:$E$2003,"&gt;0")&gt;0,"■","")</f>
        <v/>
      </c>
      <c r="P7" s="9" t="str">
        <f>IF(COUNTIFS('3. 5기 수입지출장부'!$C$5:$C$2003,$C6,'3. 5기 수입지출장부'!$A$5:$A$2003,"&gt;="&amp;DATE(2026,P$5,1),'3. 5기 수입지출장부'!$A$5:$A$2003,"&lt;"&amp;DATE(2026,P$5+1,1),'3. 5기 수입지출장부'!$E$5:$E$2003,"&gt;0")&gt;0,"■","")</f>
        <v/>
      </c>
      <c r="Q7" s="175">
        <f>'3. 5기 수입지출장부'!E192</f>
        <v>800000</v>
      </c>
      <c r="R7" s="176"/>
      <c r="S7" s="184"/>
      <c r="T7" s="184"/>
      <c r="U7" s="3"/>
      <c r="V7" s="3"/>
      <c r="W7" s="3"/>
      <c r="X7" s="10">
        <f>SUM(Q6,Q8,Q10,Q22,Q46,Q26,Q42,Q44)</f>
        <v>23118091</v>
      </c>
      <c r="Y7" s="10">
        <f>SUM(Q14,Q24,Q28,Q30,Q32)</f>
        <v>14700000</v>
      </c>
      <c r="Z7" s="10">
        <f>SUM(Q16,Q34)</f>
        <v>800000</v>
      </c>
      <c r="AA7" s="10">
        <f>SUM(Q18,Q36)</f>
        <v>500000</v>
      </c>
      <c r="AB7" s="10">
        <f>SUM(Q20,Q40,Q38)</f>
        <v>1100000</v>
      </c>
      <c r="AC7" s="10">
        <f>SUM(X7:AB7)</f>
        <v>40218091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</row>
    <row r="8" spans="1:42" ht="24.75" customHeight="1">
      <c r="A8" s="3"/>
      <c r="B8" s="181">
        <v>2</v>
      </c>
      <c r="C8" s="177" t="s">
        <v>247</v>
      </c>
      <c r="D8" s="11" t="s">
        <v>282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203">
        <f>'2. 5기_예산목간'!D26</f>
        <v>1927800</v>
      </c>
      <c r="R8" s="204"/>
      <c r="S8" s="183">
        <f>Q9/Q8</f>
        <v>0</v>
      </c>
      <c r="T8" s="231" t="s">
        <v>283</v>
      </c>
      <c r="U8" s="3"/>
      <c r="V8" s="3"/>
      <c r="W8" s="3"/>
      <c r="X8" s="12"/>
      <c r="Y8" s="12"/>
      <c r="Z8" s="12"/>
      <c r="AA8" s="12"/>
      <c r="AB8" s="12"/>
      <c r="AC8" s="1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24.75" customHeight="1">
      <c r="A9" s="3"/>
      <c r="B9" s="182"/>
      <c r="C9" s="178"/>
      <c r="D9" s="14" t="s">
        <v>280</v>
      </c>
      <c r="E9" s="9" t="str">
        <f>IF(COUNTIFS('3. 5기 수입지출장부'!$C$5:$C$2003,$C8,'3. 5기 수입지출장부'!$A$5:$A$2003,"&gt;="&amp;DATE(2026,E$5,1),'3. 5기 수입지출장부'!$A$5:$A$2003,"&lt;"&amp;DATE(2026,E$5+1,1),'3. 5기 수입지출장부'!$E$5:$E$2003,"&gt;0")&gt;0,"■","")</f>
        <v/>
      </c>
      <c r="F9" s="14" t="str">
        <f>IF(COUNTIFS('3. 5기 수입지출장부'!$C$5:$C$2003,$C8,'3. 5기 수입지출장부'!$A$5:$A$2003,"&gt;="&amp;DATE(2026,F$5,1),'3. 5기 수입지출장부'!$A$5:$A$2003,"&lt;"&amp;DATE(2026,F$5+1,1),'3. 5기 수입지출장부'!$E$5:$E$2003,"&gt;0")&gt;0,"■","")</f>
        <v/>
      </c>
      <c r="G9" s="14" t="str">
        <f>IF(COUNTIFS('3. 5기 수입지출장부'!$C$5:$C$2003,$C8,'3. 5기 수입지출장부'!$A$5:$A$2003,"&gt;="&amp;DATE(2026,G$5,1),'3. 5기 수입지출장부'!$A$5:$A$2003,"&lt;"&amp;DATE(2026,G$5+1,1),'3. 5기 수입지출장부'!$E$5:$E$2003,"&gt;0")&gt;0,"■","")</f>
        <v/>
      </c>
      <c r="H9" s="9" t="str">
        <f>IF(COUNTIFS('3. 5기 수입지출장부'!$C$5:$C$2003,$C8,'3. 5기 수입지출장부'!$A$5:$A$2003,"&gt;="&amp;DATE(2026,H$5,1),'3. 5기 수입지출장부'!$A$5:$A$2003,"&lt;"&amp;DATE(2026,H$5+1,1),'3. 5기 수입지출장부'!$E$5:$E$2003,"&gt;0")&gt;0,"■","")</f>
        <v/>
      </c>
      <c r="I9" s="14" t="str">
        <f>IF(COUNTIFS('3. 5기 수입지출장부'!$C$5:$C$2003,$C8,'3. 5기 수입지출장부'!$A$5:$A$2003,"&gt;="&amp;DATE(2026,I$5,1),'3. 5기 수입지출장부'!$A$5:$A$2003,"&lt;"&amp;DATE(2026,I$5+1,1),'3. 5기 수입지출장부'!$E$5:$E$2003,"&gt;0")&gt;0,"■","")</f>
        <v/>
      </c>
      <c r="J9" s="9" t="str">
        <f>IF(COUNTIFS('3. 5기 수입지출장부'!$C$5:$C$2003,$C8,'3. 5기 수입지출장부'!$A$5:$A$2003,"&gt;="&amp;DATE(2026,J$5,1),'3. 5기 수입지출장부'!$A$5:$A$2003,"&lt;"&amp;DATE(2026,J$5+1,1),'3. 5기 수입지출장부'!$E$5:$E$2003,"&gt;0")&gt;0,"■","")</f>
        <v/>
      </c>
      <c r="K9" s="14" t="str">
        <f>IF(COUNTIFS('3. 5기 수입지출장부'!$C$5:$C$2003,$C8,'3. 5기 수입지출장부'!$A$5:$A$2003,"&gt;="&amp;DATE(2026,K$5,1),'3. 5기 수입지출장부'!$A$5:$A$2003,"&lt;"&amp;DATE(2026,K$5+1,1),'3. 5기 수입지출장부'!$E$5:$E$2003,"&gt;0")&gt;0,"■","")</f>
        <v/>
      </c>
      <c r="L9" s="9" t="str">
        <f>IF(COUNTIFS('3. 5기 수입지출장부'!$C$5:$C$2003,$C8,'3. 5기 수입지출장부'!$A$5:$A$2003,"&gt;="&amp;DATE(2026,L$5,1),'3. 5기 수입지출장부'!$A$5:$A$2003,"&lt;"&amp;DATE(2026,L$5+1,1),'3. 5기 수입지출장부'!$E$5:$E$2003,"&gt;0")&gt;0,"■","")</f>
        <v/>
      </c>
      <c r="M9" s="14" t="str">
        <f>IF(COUNTIFS('3. 5기 수입지출장부'!$C$5:$C$2003,$C8,'3. 5기 수입지출장부'!$A$5:$A$2003,"&gt;="&amp;DATE(2026,M$5,1),'3. 5기 수입지출장부'!$A$5:$A$2003,"&lt;"&amp;DATE(2026,M$5+1,1),'3. 5기 수입지출장부'!$E$5:$E$2003,"&gt;0")&gt;0,"■","")</f>
        <v/>
      </c>
      <c r="N9" s="9" t="str">
        <f>IF(COUNTIFS('3. 5기 수입지출장부'!$C$5:$C$2003,$C8,'3. 5기 수입지출장부'!$A$5:$A$2003,"&gt;="&amp;DATE(2026,N$5,1),'3. 5기 수입지출장부'!$A$5:$A$2003,"&lt;"&amp;DATE(2026,N$5+1,1),'3. 5기 수입지출장부'!$E$5:$E$2003,"&gt;0")&gt;0,"■","")</f>
        <v/>
      </c>
      <c r="O9" s="14" t="str">
        <f>IF(COUNTIFS('3. 5기 수입지출장부'!$C$5:$C$2003,$C8,'3. 5기 수입지출장부'!$A$5:$A$2003,"&gt;="&amp;DATE(2026,O$5,1),'3. 5기 수입지출장부'!$A$5:$A$2003,"&lt;"&amp;DATE(2026,O$5+1,1),'3. 5기 수입지출장부'!$E$5:$E$2003,"&gt;0")&gt;0,"■","")</f>
        <v/>
      </c>
      <c r="P9" s="14" t="str">
        <f>IF(COUNTIFS('3. 5기 수입지출장부'!$C$5:$C$2003,$C8,'3. 5기 수입지출장부'!$A$5:$A$2003,"&gt;="&amp;DATE(2026,P$5,1),'3. 5기 수입지출장부'!$A$5:$A$2003,"&lt;"&amp;DATE(2026,P$5+1,1),'3. 5기 수입지출장부'!$E$5:$E$2003,"&gt;0")&gt;0,"■","")</f>
        <v/>
      </c>
      <c r="Q9" s="175">
        <f>'3. 5기 수입지출장부'!E193</f>
        <v>0</v>
      </c>
      <c r="R9" s="176"/>
      <c r="S9" s="184"/>
      <c r="T9" s="184"/>
      <c r="U9" s="3"/>
      <c r="V9" s="3"/>
      <c r="W9" s="3"/>
      <c r="X9" s="12"/>
      <c r="Y9" s="12"/>
      <c r="Z9" s="12"/>
      <c r="AA9" s="12"/>
      <c r="AB9" s="12"/>
      <c r="AC9" s="1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</row>
    <row r="10" spans="1:42" ht="24.75" customHeight="1">
      <c r="A10" s="3"/>
      <c r="B10" s="181">
        <f>B8+1</f>
        <v>3</v>
      </c>
      <c r="C10" s="177" t="s">
        <v>104</v>
      </c>
      <c r="D10" s="6" t="s">
        <v>282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238">
        <f>'2. 5기_예산목간'!D27</f>
        <v>540000</v>
      </c>
      <c r="R10" s="239"/>
      <c r="S10" s="183">
        <f>Q11/Q10</f>
        <v>0.30740740740740741</v>
      </c>
      <c r="T10" s="231" t="s">
        <v>283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 spans="1:42" ht="24.75" customHeight="1">
      <c r="A11" s="3"/>
      <c r="B11" s="182"/>
      <c r="C11" s="178"/>
      <c r="D11" s="14" t="s">
        <v>280</v>
      </c>
      <c r="E11" s="9" t="str">
        <f>IF(COUNTIFS('3. 5기 수입지출장부'!$C$5:$C$2003,$C10,'3. 5기 수입지출장부'!$A$5:$A$2003,"&gt;="&amp;DATE(2026,E$5,1),'3. 5기 수입지출장부'!$A$5:$A$2003,"&lt;"&amp;DATE(2026,E$5+1,1),'3. 5기 수입지출장부'!$E$5:$E$2003,"&gt;0")&gt;0,"■","")</f>
        <v/>
      </c>
      <c r="F11" s="14" t="str">
        <f>IF(COUNTIFS('3. 5기 수입지출장부'!$C$5:$C$2003,$C10,'3. 5기 수입지출장부'!$A$5:$A$2003,"&gt;="&amp;DATE(2026,F$5,1),'3. 5기 수입지출장부'!$A$5:$A$2003,"&lt;"&amp;DATE(2026,F$5+1,1),'3. 5기 수입지출장부'!$E$5:$E$2003,"&gt;0")&gt;0,"■","")</f>
        <v/>
      </c>
      <c r="G11" s="14" t="str">
        <f>IF(COUNTIFS('3. 5기 수입지출장부'!$C$5:$C$2003,$C10,'3. 5기 수입지출장부'!$A$5:$A$2003,"&gt;="&amp;DATE(2026,G$5,1),'3. 5기 수입지출장부'!$A$5:$A$2003,"&lt;"&amp;DATE(2026,G$5+1,1),'3. 5기 수입지출장부'!$E$5:$E$2003,"&gt;0")&gt;0,"■","")</f>
        <v/>
      </c>
      <c r="H11" s="9" t="str">
        <f>IF(COUNTIFS('3. 5기 수입지출장부'!$C$5:$C$2003,$C10,'3. 5기 수입지출장부'!$A$5:$A$2003,"&gt;="&amp;DATE(2026,H$5,1),'3. 5기 수입지출장부'!$A$5:$A$2003,"&lt;"&amp;DATE(2026,H$5+1,1),'3. 5기 수입지출장부'!$E$5:$E$2003,"&gt;0")&gt;0,"■","")</f>
        <v>■</v>
      </c>
      <c r="I11" s="14" t="str">
        <f>IF(COUNTIFS('3. 5기 수입지출장부'!$C$5:$C$2003,$C10,'3. 5기 수입지출장부'!$A$5:$A$2003,"&gt;="&amp;DATE(2026,I$5,1),'3. 5기 수입지출장부'!$A$5:$A$2003,"&lt;"&amp;DATE(2026,I$5+1,1),'3. 5기 수입지출장부'!$E$5:$E$2003,"&gt;0")&gt;0,"■","")</f>
        <v/>
      </c>
      <c r="J11" s="9" t="str">
        <f>IF(COUNTIFS('3. 5기 수입지출장부'!$C$5:$C$2003,$C10,'3. 5기 수입지출장부'!$A$5:$A$2003,"&gt;="&amp;DATE(2026,J$5,1),'3. 5기 수입지출장부'!$A$5:$A$2003,"&lt;"&amp;DATE(2026,J$5+1,1),'3. 5기 수입지출장부'!$E$5:$E$2003,"&gt;0")&gt;0,"■","")</f>
        <v/>
      </c>
      <c r="K11" s="14" t="str">
        <f>IF(COUNTIFS('3. 5기 수입지출장부'!$C$5:$C$2003,$C10,'3. 5기 수입지출장부'!$A$5:$A$2003,"&gt;="&amp;DATE(2026,K$5,1),'3. 5기 수입지출장부'!$A$5:$A$2003,"&lt;"&amp;DATE(2026,K$5+1,1),'3. 5기 수입지출장부'!$E$5:$E$2003,"&gt;0")&gt;0,"■","")</f>
        <v/>
      </c>
      <c r="L11" s="9" t="str">
        <f>IF(COUNTIFS('3. 5기 수입지출장부'!$C$5:$C$2003,$C10,'3. 5기 수입지출장부'!$A$5:$A$2003,"&gt;="&amp;DATE(2026,L$5,1),'3. 5기 수입지출장부'!$A$5:$A$2003,"&lt;"&amp;DATE(2026,L$5+1,1),'3. 5기 수입지출장부'!$E$5:$E$2003,"&gt;0")&gt;0,"■","")</f>
        <v/>
      </c>
      <c r="M11" s="14" t="str">
        <f>IF(COUNTIFS('3. 5기 수입지출장부'!$C$5:$C$2003,$C10,'3. 5기 수입지출장부'!$A$5:$A$2003,"&gt;="&amp;DATE(2026,M$5,1),'3. 5기 수입지출장부'!$A$5:$A$2003,"&lt;"&amp;DATE(2026,M$5+1,1),'3. 5기 수입지출장부'!$E$5:$E$2003,"&gt;0")&gt;0,"■","")</f>
        <v/>
      </c>
      <c r="N11" s="9" t="str">
        <f>IF(COUNTIFS('3. 5기 수입지출장부'!$C$5:$C$2003,$C10,'3. 5기 수입지출장부'!$A$5:$A$2003,"&gt;="&amp;DATE(2026,N$5,1),'3. 5기 수입지출장부'!$A$5:$A$2003,"&lt;"&amp;DATE(2026,N$5+1,1),'3. 5기 수입지출장부'!$E$5:$E$2003,"&gt;0")&gt;0,"■","")</f>
        <v/>
      </c>
      <c r="O11" s="14" t="str">
        <f>IF(COUNTIFS('3. 5기 수입지출장부'!$C$5:$C$2003,$C10,'3. 5기 수입지출장부'!$A$5:$A$2003,"&gt;="&amp;DATE(2026,O$5,1),'3. 5기 수입지출장부'!$A$5:$A$2003,"&lt;"&amp;DATE(2026,O$5+1,1),'3. 5기 수입지출장부'!$E$5:$E$2003,"&gt;0")&gt;0,"■","")</f>
        <v/>
      </c>
      <c r="P11" s="14" t="str">
        <f>IF(COUNTIFS('3. 5기 수입지출장부'!$C$5:$C$2003,$C10,'3. 5기 수입지출장부'!$A$5:$A$2003,"&gt;="&amp;DATE(2026,P$5,1),'3. 5기 수입지출장부'!$A$5:$A$2003,"&lt;"&amp;DATE(2026,P$5+1,1),'3. 5기 수입지출장부'!$E$5:$E$2003,"&gt;0")&gt;0,"■","")</f>
        <v/>
      </c>
      <c r="Q11" s="216">
        <f>'3. 5기 수입지출장부'!E194</f>
        <v>166000</v>
      </c>
      <c r="R11" s="217"/>
      <c r="S11" s="184"/>
      <c r="T11" s="184"/>
      <c r="U11" s="3"/>
      <c r="V11" s="3"/>
      <c r="W11" s="3"/>
      <c r="X11" s="15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</row>
    <row r="12" spans="1:42" ht="24.75" customHeight="1">
      <c r="A12" s="3"/>
      <c r="B12" s="181">
        <v>4</v>
      </c>
      <c r="C12" s="177" t="s">
        <v>255</v>
      </c>
      <c r="D12" s="11" t="s">
        <v>282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203">
        <f>'2. 5기_예산목간'!D28</f>
        <v>1000000</v>
      </c>
      <c r="R12" s="204"/>
      <c r="S12" s="183">
        <f>Q13/Q12</f>
        <v>0</v>
      </c>
      <c r="T12" s="122"/>
      <c r="U12" s="3"/>
      <c r="V12" s="3"/>
      <c r="W12" s="3"/>
      <c r="X12" s="15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</row>
    <row r="13" spans="1:42" ht="24.75" customHeight="1">
      <c r="A13" s="3"/>
      <c r="B13" s="182"/>
      <c r="C13" s="178"/>
      <c r="D13" s="14" t="s">
        <v>280</v>
      </c>
      <c r="E13" s="9" t="str">
        <f>IF(COUNTIFS('3. 5기 수입지출장부'!$C$5:$C$2003,$C12,'3. 5기 수입지출장부'!$A$5:$A$2003,"&gt;="&amp;DATE(2026,E$5,1),'3. 5기 수입지출장부'!$A$5:$A$2003,"&lt;"&amp;DATE(2026,E$5+1,1),'3. 5기 수입지출장부'!$E$5:$E$2003,"&gt;0")&gt;0,"■","")</f>
        <v/>
      </c>
      <c r="F13" s="14" t="str">
        <f>IF(COUNTIFS('3. 5기 수입지출장부'!$C$5:$C$2003,$C12,'3. 5기 수입지출장부'!$A$5:$A$2003,"&gt;="&amp;DATE(2026,F$5,1),'3. 5기 수입지출장부'!$A$5:$A$2003,"&lt;"&amp;DATE(2026,F$5+1,1),'3. 5기 수입지출장부'!$E$5:$E$2003,"&gt;0")&gt;0,"■","")</f>
        <v/>
      </c>
      <c r="G13" s="14" t="str">
        <f>IF(COUNTIFS('3. 5기 수입지출장부'!$C$5:$C$2003,$C12,'3. 5기 수입지출장부'!$A$5:$A$2003,"&gt;="&amp;DATE(2026,G$5,1),'3. 5기 수입지출장부'!$A$5:$A$2003,"&lt;"&amp;DATE(2026,G$5+1,1),'3. 5기 수입지출장부'!$E$5:$E$2003,"&gt;0")&gt;0,"■","")</f>
        <v/>
      </c>
      <c r="H13" s="9" t="str">
        <f>IF(COUNTIFS('3. 5기 수입지출장부'!$C$5:$C$2003,$C12,'3. 5기 수입지출장부'!$A$5:$A$2003,"&gt;="&amp;DATE(2026,H$5,1),'3. 5기 수입지출장부'!$A$5:$A$2003,"&lt;"&amp;DATE(2026,H$5+1,1),'3. 5기 수입지출장부'!$E$5:$E$2003,"&gt;0")&gt;0,"■","")</f>
        <v/>
      </c>
      <c r="I13" s="14" t="str">
        <f>IF(COUNTIFS('3. 5기 수입지출장부'!$C$5:$C$2003,$C12,'3. 5기 수입지출장부'!$A$5:$A$2003,"&gt;="&amp;DATE(2026,I$5,1),'3. 5기 수입지출장부'!$A$5:$A$2003,"&lt;"&amp;DATE(2026,I$5+1,1),'3. 5기 수입지출장부'!$E$5:$E$2003,"&gt;0")&gt;0,"■","")</f>
        <v/>
      </c>
      <c r="J13" s="9" t="str">
        <f>IF(COUNTIFS('3. 5기 수입지출장부'!$C$5:$C$2003,$C12,'3. 5기 수입지출장부'!$A$5:$A$2003,"&gt;="&amp;DATE(2026,J$5,1),'3. 5기 수입지출장부'!$A$5:$A$2003,"&lt;"&amp;DATE(2026,J$5+1,1),'3. 5기 수입지출장부'!$E$5:$E$2003,"&gt;0")&gt;0,"■","")</f>
        <v/>
      </c>
      <c r="K13" s="14" t="str">
        <f>IF(COUNTIFS('3. 5기 수입지출장부'!$C$5:$C$2003,$C12,'3. 5기 수입지출장부'!$A$5:$A$2003,"&gt;="&amp;DATE(2026,K$5,1),'3. 5기 수입지출장부'!$A$5:$A$2003,"&lt;"&amp;DATE(2026,K$5+1,1),'3. 5기 수입지출장부'!$E$5:$E$2003,"&gt;0")&gt;0,"■","")</f>
        <v/>
      </c>
      <c r="L13" s="9" t="str">
        <f>IF(COUNTIFS('3. 5기 수입지출장부'!$C$5:$C$2003,$C12,'3. 5기 수입지출장부'!$A$5:$A$2003,"&gt;="&amp;DATE(2026,L$5,1),'3. 5기 수입지출장부'!$A$5:$A$2003,"&lt;"&amp;DATE(2026,L$5+1,1),'3. 5기 수입지출장부'!$E$5:$E$2003,"&gt;0")&gt;0,"■","")</f>
        <v/>
      </c>
      <c r="M13" s="14" t="str">
        <f>IF(COUNTIFS('3. 5기 수입지출장부'!$C$5:$C$2003,$C12,'3. 5기 수입지출장부'!$A$5:$A$2003,"&gt;="&amp;DATE(2026,M$5,1),'3. 5기 수입지출장부'!$A$5:$A$2003,"&lt;"&amp;DATE(2026,M$5+1,1),'3. 5기 수입지출장부'!$E$5:$E$2003,"&gt;0")&gt;0,"■","")</f>
        <v/>
      </c>
      <c r="N13" s="9" t="str">
        <f>IF(COUNTIFS('3. 5기 수입지출장부'!$C$5:$C$2003,$C12,'3. 5기 수입지출장부'!$A$5:$A$2003,"&gt;="&amp;DATE(2026,N$5,1),'3. 5기 수입지출장부'!$A$5:$A$2003,"&lt;"&amp;DATE(2026,N$5+1,1),'3. 5기 수입지출장부'!$E$5:$E$2003,"&gt;0")&gt;0,"■","")</f>
        <v/>
      </c>
      <c r="O13" s="14" t="str">
        <f>IF(COUNTIFS('3. 5기 수입지출장부'!$C$5:$C$2003,$C12,'3. 5기 수입지출장부'!$A$5:$A$2003,"&gt;="&amp;DATE(2026,O$5,1),'3. 5기 수입지출장부'!$A$5:$A$2003,"&lt;"&amp;DATE(2026,O$5+1,1),'3. 5기 수입지출장부'!$E$5:$E$2003,"&gt;0")&gt;0,"■","")</f>
        <v/>
      </c>
      <c r="P13" s="14" t="str">
        <f>IF(COUNTIFS('3. 5기 수입지출장부'!$C$5:$C$2003,$C12,'3. 5기 수입지출장부'!$A$5:$A$2003,"&gt;="&amp;DATE(2026,P$5,1),'3. 5기 수입지출장부'!$A$5:$A$2003,"&lt;"&amp;DATE(2026,P$5+1,1),'3. 5기 수입지출장부'!$E$5:$E$2003,"&gt;0")&gt;0,"■","")</f>
        <v/>
      </c>
      <c r="Q13" s="175">
        <f>'3. 5기 수입지출장부'!E195</f>
        <v>0</v>
      </c>
      <c r="R13" s="176"/>
      <c r="S13" s="184"/>
      <c r="T13" s="122"/>
      <c r="U13" s="3"/>
      <c r="V13" s="3"/>
      <c r="W13" s="3"/>
      <c r="X13" s="15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</row>
    <row r="14" spans="1:42" ht="24.75" customHeight="1">
      <c r="A14" s="3"/>
      <c r="B14" s="185">
        <v>5</v>
      </c>
      <c r="C14" s="177" t="s">
        <v>244</v>
      </c>
      <c r="D14" s="6" t="s">
        <v>282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211">
        <f>'2. 5기_예산목간'!D29</f>
        <v>400000</v>
      </c>
      <c r="R14" s="212"/>
      <c r="S14" s="202">
        <f>Q15/Q14</f>
        <v>0.94</v>
      </c>
      <c r="T14" s="195" t="s">
        <v>289</v>
      </c>
      <c r="U14" s="3"/>
      <c r="V14" s="3"/>
      <c r="W14" s="3"/>
      <c r="X14" s="17" t="s">
        <v>275</v>
      </c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237"/>
      <c r="AL14" s="180"/>
      <c r="AM14" s="180"/>
      <c r="AN14" s="180"/>
      <c r="AO14" s="180"/>
      <c r="AP14" s="180"/>
    </row>
    <row r="15" spans="1:42" ht="24.75" customHeight="1">
      <c r="A15" s="3"/>
      <c r="B15" s="182"/>
      <c r="C15" s="178"/>
      <c r="D15" s="14" t="s">
        <v>280</v>
      </c>
      <c r="E15" s="18" t="str">
        <f>IF(COUNTIFS('3. 5기 수입지출장부'!$C$5:$C$2003,$C14,'3. 5기 수입지출장부'!$A$5:$A$2003,"&gt;="&amp;DATE(2026,E$5,1),'3. 5기 수입지출장부'!$A$5:$A$2003,"&lt;"&amp;DATE(2026,E$5+1,1),'3. 5기 수입지출장부'!$E$5:$E$2003,"&gt;0")&gt;0,"■","")</f>
        <v/>
      </c>
      <c r="F15" s="14" t="str">
        <f>IF(COUNTIFS('3. 5기 수입지출장부'!$C$5:$C$2003,$C14,'3. 5기 수입지출장부'!$A$5:$A$2003,"&gt;="&amp;DATE(2026,F$5,1),'3. 5기 수입지출장부'!$A$5:$A$2003,"&lt;"&amp;DATE(2026,F$5+1,1),'3. 5기 수입지출장부'!$E$5:$E$2003,"&gt;0")&gt;0,"■","")</f>
        <v/>
      </c>
      <c r="G15" s="14" t="str">
        <f>IF(COUNTIFS('3. 5기 수입지출장부'!$C$5:$C$2003,$C14,'3. 5기 수입지출장부'!$A$5:$A$2003,"&gt;="&amp;DATE(2026,G$5,1),'3. 5기 수입지출장부'!$A$5:$A$2003,"&lt;"&amp;DATE(2026,G$5+1,1),'3. 5기 수입지출장부'!$E$5:$E$2003,"&gt;0")&gt;0,"■","")</f>
        <v/>
      </c>
      <c r="H15" s="9" t="str">
        <f>IF(COUNTIFS('3. 5기 수입지출장부'!$C$5:$C$2003,$C14,'3. 5기 수입지출장부'!$A$5:$A$2003,"&gt;="&amp;DATE(2026,H$5,1),'3. 5기 수입지출장부'!$A$5:$A$2003,"&lt;"&amp;DATE(2026,H$5+1,1),'3. 5기 수입지출장부'!$E$5:$E$2003,"&gt;0")&gt;0,"■","")</f>
        <v/>
      </c>
      <c r="I15" s="14" t="str">
        <f>IF(COUNTIFS('3. 5기 수입지출장부'!$C$5:$C$2003,$C14,'3. 5기 수입지출장부'!$A$5:$A$2003,"&gt;="&amp;DATE(2026,I$5,1),'3. 5기 수입지출장부'!$A$5:$A$2003,"&lt;"&amp;DATE(2026,I$5+1,1),'3. 5기 수입지출장부'!$E$5:$E$2003,"&gt;0")&gt;0,"■","")</f>
        <v/>
      </c>
      <c r="J15" s="14" t="str">
        <f>IF(COUNTIFS('3. 5기 수입지출장부'!$C$5:$C$2003,$C14,'3. 5기 수입지출장부'!$A$5:$A$2003,"&gt;="&amp;DATE(2026,J$5,1),'3. 5기 수입지출장부'!$A$5:$A$2003,"&lt;"&amp;DATE(2026,J$5+1,1),'3. 5기 수입지출장부'!$E$5:$E$2003,"&gt;0")&gt;0,"■","")</f>
        <v/>
      </c>
      <c r="K15" s="14" t="str">
        <f>IF(COUNTIFS('3. 5기 수입지출장부'!$C$5:$C$2003,$C14,'3. 5기 수입지출장부'!$A$5:$A$2003,"&gt;="&amp;DATE(2026,K$5,1),'3. 5기 수입지출장부'!$A$5:$A$2003,"&lt;"&amp;DATE(2026,K$5+1,1),'3. 5기 수입지출장부'!$E$5:$E$2003,"&gt;0")&gt;0,"■","")</f>
        <v/>
      </c>
      <c r="L15" s="14" t="str">
        <f>IF(COUNTIFS('3. 5기 수입지출장부'!$C$5:$C$2003,$C14,'3. 5기 수입지출장부'!$A$5:$A$2003,"&gt;="&amp;DATE(2026,L$5,1),'3. 5기 수입지출장부'!$A$5:$A$2003,"&lt;"&amp;DATE(2026,L$5+1,1),'3. 5기 수입지출장부'!$E$5:$E$2003,"&gt;0")&gt;0,"■","")</f>
        <v/>
      </c>
      <c r="M15" s="14" t="str">
        <f>IF(COUNTIFS('3. 5기 수입지출장부'!$C$5:$C$2003,$C14,'3. 5기 수입지출장부'!$A$5:$A$2003,"&gt;="&amp;DATE(2026,M$5,1),'3. 5기 수입지출장부'!$A$5:$A$2003,"&lt;"&amp;DATE(2026,M$5+1,1),'3. 5기 수입지출장부'!$E$5:$E$2003,"&gt;0")&gt;0,"■","")</f>
        <v>■</v>
      </c>
      <c r="N15" s="14" t="str">
        <f>IF(COUNTIFS('3. 5기 수입지출장부'!$C$5:$C$2003,$C14,'3. 5기 수입지출장부'!$A$5:$A$2003,"&gt;="&amp;DATE(2026,N$5,1),'3. 5기 수입지출장부'!$A$5:$A$2003,"&lt;"&amp;DATE(2026,N$5+1,1),'3. 5기 수입지출장부'!$E$5:$E$2003,"&gt;0")&gt;0,"■","")</f>
        <v/>
      </c>
      <c r="O15" s="14" t="str">
        <f>IF(COUNTIFS('3. 5기 수입지출장부'!$C$5:$C$2003,$C14,'3. 5기 수입지출장부'!$A$5:$A$2003,"&gt;="&amp;DATE(2026,O$5,1),'3. 5기 수입지출장부'!$A$5:$A$2003,"&lt;"&amp;DATE(2026,O$5+1,1),'3. 5기 수입지출장부'!$E$5:$E$2003,"&gt;0")&gt;0,"■","")</f>
        <v/>
      </c>
      <c r="P15" s="14" t="str">
        <f>IF(COUNTIFS('3. 5기 수입지출장부'!$C$5:$C$2003,$C14,'3. 5기 수입지출장부'!$A$5:$A$2003,"&gt;="&amp;DATE(2026,P$5,1),'3. 5기 수입지출장부'!$A$5:$A$2003,"&lt;"&amp;DATE(2026,P$5+1,1),'3. 5기 수입지출장부'!$E$5:$E$2003,"&gt;0")&gt;0,"■","")</f>
        <v/>
      </c>
      <c r="Q15" s="192">
        <f>'3. 5기 수입지출장부'!E196</f>
        <v>376000</v>
      </c>
      <c r="R15" s="193"/>
      <c r="S15" s="184"/>
      <c r="T15" s="184"/>
      <c r="U15" s="3"/>
      <c r="V15" s="3"/>
      <c r="W15" s="3"/>
      <c r="X15" s="19"/>
      <c r="Y15" s="201"/>
      <c r="Z15" s="201"/>
      <c r="AA15" s="199"/>
      <c r="AB15" s="180"/>
      <c r="AC15" s="180"/>
      <c r="AD15" s="180"/>
      <c r="AE15" s="180"/>
      <c r="AF15" s="180"/>
      <c r="AG15" s="180"/>
      <c r="AH15" s="180"/>
      <c r="AI15" s="180"/>
      <c r="AJ15" s="180"/>
      <c r="AK15" s="180"/>
      <c r="AL15" s="180"/>
      <c r="AM15" s="201"/>
      <c r="AN15" s="180"/>
      <c r="AO15" s="201"/>
      <c r="AP15" s="201"/>
    </row>
    <row r="16" spans="1:42" ht="24.75" customHeight="1">
      <c r="A16" s="3"/>
      <c r="B16" s="181">
        <v>6</v>
      </c>
      <c r="C16" s="177" t="s">
        <v>223</v>
      </c>
      <c r="D16" s="6" t="s">
        <v>282</v>
      </c>
      <c r="E16" s="6"/>
      <c r="F16" s="6"/>
      <c r="G16" s="6"/>
      <c r="H16" s="6"/>
      <c r="I16" s="6"/>
      <c r="J16" s="14"/>
      <c r="K16" s="6"/>
      <c r="L16" s="6"/>
      <c r="M16" s="6"/>
      <c r="N16" s="6"/>
      <c r="O16" s="6"/>
      <c r="P16" s="6"/>
      <c r="Q16" s="211">
        <f>'2. 5기_예산목간'!D30</f>
        <v>200000</v>
      </c>
      <c r="R16" s="212"/>
      <c r="S16" s="202">
        <f>Q17/Q16</f>
        <v>0.67500000000000004</v>
      </c>
      <c r="T16" s="244" t="s">
        <v>290</v>
      </c>
      <c r="U16" s="3"/>
      <c r="V16" s="3"/>
      <c r="W16" s="3"/>
      <c r="X16" s="19"/>
      <c r="Y16" s="180"/>
      <c r="Z16" s="18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199"/>
      <c r="AN16" s="180"/>
      <c r="AO16" s="180"/>
      <c r="AP16" s="180"/>
    </row>
    <row r="17" spans="1:42" ht="24.75" customHeight="1">
      <c r="A17" s="3"/>
      <c r="B17" s="182"/>
      <c r="C17" s="178"/>
      <c r="D17" s="14" t="s">
        <v>280</v>
      </c>
      <c r="E17" s="14" t="str">
        <f>IF(COUNTIFS('3. 5기 수입지출장부'!$C$5:$C$2003,$C16,'3. 5기 수입지출장부'!$A$5:$A$2003,"&gt;="&amp;DATE(2026,E$5,1),'3. 5기 수입지출장부'!$A$5:$A$2003,"&lt;"&amp;DATE(2026,E$5+1,1),'3. 5기 수입지출장부'!$E$5:$E$2003,"&gt;0")&gt;0,"■","")</f>
        <v/>
      </c>
      <c r="F17" s="14" t="str">
        <f>IF(COUNTIFS('3. 5기 수입지출장부'!$C$5:$C$2003,$C16,'3. 5기 수입지출장부'!$A$5:$A$2003,"&gt;="&amp;DATE(2026,F$5,1),'3. 5기 수입지출장부'!$A$5:$A$2003,"&lt;"&amp;DATE(2026,F$5+1,1),'3. 5기 수입지출장부'!$E$5:$E$2003,"&gt;0")&gt;0,"■","")</f>
        <v/>
      </c>
      <c r="G17" s="14" t="str">
        <f>IF(COUNTIFS('3. 5기 수입지출장부'!$C$5:$C$2003,$C16,'3. 5기 수입지출장부'!$A$5:$A$2003,"&gt;="&amp;DATE(2026,G$5,1),'3. 5기 수입지출장부'!$A$5:$A$2003,"&lt;"&amp;DATE(2026,G$5+1,1),'3. 5기 수입지출장부'!$E$5:$E$2003,"&gt;0")&gt;0,"■","")</f>
        <v/>
      </c>
      <c r="H17" s="9" t="str">
        <f>IF(COUNTIFS('3. 5기 수입지출장부'!$C$5:$C$2003,$C16,'3. 5기 수입지출장부'!$A$5:$A$2003,"&gt;="&amp;DATE(2026,H$5,1),'3. 5기 수입지출장부'!$A$5:$A$2003,"&lt;"&amp;DATE(2026,H$5+1,1),'3. 5기 수입지출장부'!$E$5:$E$2003,"&gt;0")&gt;0,"■","")</f>
        <v/>
      </c>
      <c r="I17" s="14" t="str">
        <f>IF(COUNTIFS('3. 5기 수입지출장부'!$C$5:$C$2003,$C16,'3. 5기 수입지출장부'!$A$5:$A$2003,"&gt;="&amp;DATE(2026,I$5,1),'3. 5기 수입지출장부'!$A$5:$A$2003,"&lt;"&amp;DATE(2026,I$5+1,1),'3. 5기 수입지출장부'!$E$5:$E$2003,"&gt;0")&gt;0,"■","")</f>
        <v/>
      </c>
      <c r="J17" s="14" t="str">
        <f>IF(COUNTIFS('3. 5기 수입지출장부'!$C$5:$C$2003,$C16,'3. 5기 수입지출장부'!$A$5:$A$2003,"&gt;="&amp;DATE(2026,J$5,1),'3. 5기 수입지출장부'!$A$5:$A$2003,"&lt;"&amp;DATE(2026,J$5+1,1),'3. 5기 수입지출장부'!$E$5:$E$2003,"&gt;0")&gt;0,"■","")</f>
        <v/>
      </c>
      <c r="K17" s="14" t="str">
        <f>IF(COUNTIFS('3. 5기 수입지출장부'!$C$5:$C$2003,$C16,'3. 5기 수입지출장부'!$A$5:$A$2003,"&gt;="&amp;DATE(2026,K$5,1),'3. 5기 수입지출장부'!$A$5:$A$2003,"&lt;"&amp;DATE(2026,K$5+1,1),'3. 5기 수입지출장부'!$E$5:$E$2003,"&gt;0")&gt;0,"■","")</f>
        <v/>
      </c>
      <c r="L17" s="14" t="str">
        <f>IF(COUNTIFS('3. 5기 수입지출장부'!$C$5:$C$2003,$C16,'3. 5기 수입지출장부'!$A$5:$A$2003,"&gt;="&amp;DATE(2026,L$5,1),'3. 5기 수입지출장부'!$A$5:$A$2003,"&lt;"&amp;DATE(2026,L$5+1,1),'3. 5기 수입지출장부'!$E$5:$E$2003,"&gt;0")&gt;0,"■","")</f>
        <v>■</v>
      </c>
      <c r="M17" s="14" t="str">
        <f>IF(COUNTIFS('3. 5기 수입지출장부'!$C$5:$C$2003,$C16,'3. 5기 수입지출장부'!$A$5:$A$2003,"&gt;="&amp;DATE(2026,M$5,1),'3. 5기 수입지출장부'!$A$5:$A$2003,"&lt;"&amp;DATE(2026,M$5+1,1),'3. 5기 수입지출장부'!$E$5:$E$2003,"&gt;0")&gt;0,"■","")</f>
        <v/>
      </c>
      <c r="N17" s="14" t="str">
        <f>IF(COUNTIFS('3. 5기 수입지출장부'!$C$5:$C$2003,$C16,'3. 5기 수입지출장부'!$A$5:$A$2003,"&gt;="&amp;DATE(2026,N$5,1),'3. 5기 수입지출장부'!$A$5:$A$2003,"&lt;"&amp;DATE(2026,N$5+1,1),'3. 5기 수입지출장부'!$E$5:$E$2003,"&gt;0")&gt;0,"■","")</f>
        <v/>
      </c>
      <c r="O17" s="14" t="str">
        <f>IF(COUNTIFS('3. 5기 수입지출장부'!$C$5:$C$2003,$C16,'3. 5기 수입지출장부'!$A$5:$A$2003,"&gt;="&amp;DATE(2026,O$5,1),'3. 5기 수입지출장부'!$A$5:$A$2003,"&lt;"&amp;DATE(2026,O$5+1,1),'3. 5기 수입지출장부'!$E$5:$E$2003,"&gt;0")&gt;0,"■","")</f>
        <v/>
      </c>
      <c r="P17" s="14" t="str">
        <f>IF(COUNTIFS('3. 5기 수입지출장부'!$C$5:$C$2003,$C16,'3. 5기 수입지출장부'!$A$5:$A$2003,"&gt;="&amp;DATE(2026,P$5,1),'3. 5기 수입지출장부'!$A$5:$A$2003,"&lt;"&amp;DATE(2026,P$5+1,1),'3. 5기 수입지출장부'!$E$5:$E$2003,"&gt;0")&gt;0,"■","")</f>
        <v/>
      </c>
      <c r="Q17" s="175">
        <f>'3. 5기 수입지출장부'!E197</f>
        <v>135000</v>
      </c>
      <c r="R17" s="176"/>
      <c r="S17" s="184"/>
      <c r="T17" s="206"/>
      <c r="U17" s="3"/>
      <c r="V17" s="3"/>
      <c r="W17" s="3"/>
      <c r="X17" s="199"/>
      <c r="Y17" s="201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4"/>
      <c r="AN17" s="180"/>
      <c r="AO17" s="215"/>
      <c r="AP17" s="201"/>
    </row>
    <row r="18" spans="1:42" ht="24.75" customHeight="1">
      <c r="A18" s="3"/>
      <c r="B18" s="181">
        <v>7</v>
      </c>
      <c r="C18" s="177" t="s">
        <v>243</v>
      </c>
      <c r="D18" s="6" t="s">
        <v>282</v>
      </c>
      <c r="E18" s="6"/>
      <c r="F18" s="11"/>
      <c r="G18" s="11"/>
      <c r="H18" s="11"/>
      <c r="I18" s="11"/>
      <c r="J18" s="6"/>
      <c r="K18" s="11"/>
      <c r="L18" s="11"/>
      <c r="M18" s="11"/>
      <c r="N18" s="11"/>
      <c r="O18" s="11"/>
      <c r="P18" s="11"/>
      <c r="Q18" s="211">
        <f>'2. 5기_예산목간'!D31</f>
        <v>200000</v>
      </c>
      <c r="R18" s="212"/>
      <c r="S18" s="183">
        <f>Q19/Q18</f>
        <v>0</v>
      </c>
      <c r="T18" s="195" t="s">
        <v>291</v>
      </c>
      <c r="U18" s="3"/>
      <c r="V18" s="3"/>
      <c r="W18" s="3"/>
      <c r="X18" s="180"/>
      <c r="Y18" s="180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79"/>
      <c r="AN18" s="180"/>
      <c r="AO18" s="180"/>
      <c r="AP18" s="180"/>
    </row>
    <row r="19" spans="1:42" ht="24.75" customHeight="1">
      <c r="A19" s="3"/>
      <c r="B19" s="182"/>
      <c r="C19" s="178"/>
      <c r="D19" s="14" t="s">
        <v>280</v>
      </c>
      <c r="E19" s="14" t="str">
        <f>IF(COUNTIFS('3. 5기 수입지출장부'!$C$5:$C$2003,$C18,'3. 5기 수입지출장부'!$A$5:$A$2003,"&gt;="&amp;DATE(2026,E$5,1),'3. 5기 수입지출장부'!$A$5:$A$2003,"&lt;"&amp;DATE(2026,E$5+1,1),'3. 5기 수입지출장부'!$E$5:$E$2003,"&gt;0")&gt;0,"■","")</f>
        <v/>
      </c>
      <c r="F19" s="5" t="str">
        <f>IF(COUNTIFS('3. 5기 수입지출장부'!$C$5:$C$2003,$C18,'3. 5기 수입지출장부'!$A$5:$A$2003,"&gt;="&amp;DATE(2026,F$5,1),'3. 5기 수입지출장부'!$A$5:$A$2003,"&lt;"&amp;DATE(2026,F$5+1,1),'3. 5기 수입지출장부'!$E$5:$E$2003,"&gt;0")&gt;0,"■","")</f>
        <v/>
      </c>
      <c r="G19" s="14" t="str">
        <f>IF(COUNTIFS('3. 5기 수입지출장부'!$C$5:$C$2003,$C18,'3. 5기 수입지출장부'!$A$5:$A$2003,"&gt;="&amp;DATE(2026,G$5,1),'3. 5기 수입지출장부'!$A$5:$A$2003,"&lt;"&amp;DATE(2026,G$5+1,1),'3. 5기 수입지출장부'!$E$5:$E$2003,"&gt;0")&gt;0,"■","")</f>
        <v/>
      </c>
      <c r="H19" s="9" t="str">
        <f>IF(COUNTIFS('3. 5기 수입지출장부'!$C$5:$C$2003,$C18,'3. 5기 수입지출장부'!$A$5:$A$2003,"&gt;="&amp;DATE(2026,H$5,1),'3. 5기 수입지출장부'!$A$5:$A$2003,"&lt;"&amp;DATE(2026,H$5+1,1),'3. 5기 수입지출장부'!$E$5:$E$2003,"&gt;0")&gt;0,"■","")</f>
        <v/>
      </c>
      <c r="I19" s="9" t="str">
        <f>IF(COUNTIFS('3. 5기 수입지출장부'!$C$5:$C$2003,$C18,'3. 5기 수입지출장부'!$A$5:$A$2003,"&gt;="&amp;DATE(2026,I$5,1),'3. 5기 수입지출장부'!$A$5:$A$2003,"&lt;"&amp;DATE(2026,I$5+1,1),'3. 5기 수입지출장부'!$E$5:$E$2003,"&gt;0")&gt;0,"■","")</f>
        <v/>
      </c>
      <c r="J19" s="14" t="str">
        <f>IF(COUNTIFS('3. 5기 수입지출장부'!$C$5:$C$2003,$C18,'3. 5기 수입지출장부'!$A$5:$A$2003,"&gt;="&amp;DATE(2026,J$5,1),'3. 5기 수입지출장부'!$A$5:$A$2003,"&lt;"&amp;DATE(2026,J$5+1,1),'3. 5기 수입지출장부'!$E$5:$E$2003,"&gt;0")&gt;0,"■","")</f>
        <v/>
      </c>
      <c r="K19" s="14" t="str">
        <f>IF(COUNTIFS('3. 5기 수입지출장부'!$C$5:$C$2003,$C18,'3. 5기 수입지출장부'!$A$5:$A$2003,"&gt;="&amp;DATE(2026,K$5,1),'3. 5기 수입지출장부'!$A$5:$A$2003,"&lt;"&amp;DATE(2026,K$5+1,1),'3. 5기 수입지출장부'!$E$5:$E$2003,"&gt;0")&gt;0,"■","")</f>
        <v/>
      </c>
      <c r="L19" s="14" t="str">
        <f>IF(COUNTIFS('3. 5기 수입지출장부'!$C$5:$C$2003,$C18,'3. 5기 수입지출장부'!$A$5:$A$2003,"&gt;="&amp;DATE(2026,L$5,1),'3. 5기 수입지출장부'!$A$5:$A$2003,"&lt;"&amp;DATE(2026,L$5+1,1),'3. 5기 수입지출장부'!$E$5:$E$2003,"&gt;0")&gt;0,"■","")</f>
        <v/>
      </c>
      <c r="M19" s="14" t="str">
        <f>IF(COUNTIFS('3. 5기 수입지출장부'!$C$5:$C$2003,$C18,'3. 5기 수입지출장부'!$A$5:$A$2003,"&gt;="&amp;DATE(2026,M$5,1),'3. 5기 수입지출장부'!$A$5:$A$2003,"&lt;"&amp;DATE(2026,M$5+1,1),'3. 5기 수입지출장부'!$E$5:$E$2003,"&gt;0")&gt;0,"■","")</f>
        <v/>
      </c>
      <c r="N19" s="14" t="str">
        <f>IF(COUNTIFS('3. 5기 수입지출장부'!$C$5:$C$2003,$C18,'3. 5기 수입지출장부'!$A$5:$A$2003,"&gt;="&amp;DATE(2026,N$5,1),'3. 5기 수입지출장부'!$A$5:$A$2003,"&lt;"&amp;DATE(2026,N$5+1,1),'3. 5기 수입지출장부'!$E$5:$E$2003,"&gt;0")&gt;0,"■","")</f>
        <v/>
      </c>
      <c r="O19" s="14" t="str">
        <f>IF(COUNTIFS('3. 5기 수입지출장부'!$C$5:$C$2003,$C18,'3. 5기 수입지출장부'!$A$5:$A$2003,"&gt;="&amp;DATE(2026,O$5,1),'3. 5기 수입지출장부'!$A$5:$A$2003,"&lt;"&amp;DATE(2026,O$5+1,1),'3. 5기 수입지출장부'!$E$5:$E$2003,"&gt;0")&gt;0,"■","")</f>
        <v/>
      </c>
      <c r="P19" s="14" t="str">
        <f>IF(COUNTIFS('3. 5기 수입지출장부'!$C$5:$C$2003,$C18,'3. 5기 수입지출장부'!$A$5:$A$2003,"&gt;="&amp;DATE(2026,P$5,1),'3. 5기 수입지출장부'!$A$5:$A$2003,"&lt;"&amp;DATE(2026,P$5+1,1),'3. 5기 수입지출장부'!$E$5:$E$2003,"&gt;0")&gt;0,"■","")</f>
        <v/>
      </c>
      <c r="Q19" s="232">
        <f>'3. 5기 수입지출장부'!E198</f>
        <v>0</v>
      </c>
      <c r="R19" s="233"/>
      <c r="S19" s="184"/>
      <c r="T19" s="184"/>
      <c r="U19" s="3"/>
      <c r="V19" s="3"/>
      <c r="W19" s="3"/>
      <c r="X19" s="199"/>
      <c r="Y19" s="201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4"/>
      <c r="AN19" s="180"/>
      <c r="AO19" s="215"/>
      <c r="AP19" s="201"/>
    </row>
    <row r="20" spans="1:42" ht="24.75" customHeight="1">
      <c r="A20" s="3"/>
      <c r="B20" s="181">
        <v>8</v>
      </c>
      <c r="C20" s="177" t="s">
        <v>220</v>
      </c>
      <c r="D20" s="6" t="s">
        <v>282</v>
      </c>
      <c r="E20" s="6"/>
      <c r="F20" s="6"/>
      <c r="G20" s="6"/>
      <c r="H20" s="6"/>
      <c r="I20" s="6"/>
      <c r="J20" s="5"/>
      <c r="K20" s="6"/>
      <c r="L20" s="6"/>
      <c r="M20" s="6"/>
      <c r="N20" s="6"/>
      <c r="O20" s="6"/>
      <c r="P20" s="6"/>
      <c r="Q20" s="211">
        <f>'2. 5기_예산목간'!D32</f>
        <v>200000</v>
      </c>
      <c r="R20" s="212"/>
      <c r="S20" s="202">
        <f>Q21/Q20</f>
        <v>0.67500000000000004</v>
      </c>
      <c r="T20" s="195" t="s">
        <v>292</v>
      </c>
      <c r="U20" s="3"/>
      <c r="V20" s="3"/>
      <c r="W20" s="3"/>
      <c r="X20" s="180"/>
      <c r="Y20" s="180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79"/>
      <c r="AN20" s="180"/>
      <c r="AO20" s="180"/>
      <c r="AP20" s="180"/>
    </row>
    <row r="21" spans="1:42" ht="24.75" customHeight="1">
      <c r="A21" s="3"/>
      <c r="B21" s="182"/>
      <c r="C21" s="178"/>
      <c r="D21" s="14" t="s">
        <v>280</v>
      </c>
      <c r="E21" s="14" t="str">
        <f>IF(COUNTIFS('3. 5기 수입지출장부'!$C$5:$C$2003,$C20,'3. 5기 수입지출장부'!$A$5:$A$2003,"&gt;="&amp;DATE(2026,E$5,1),'3. 5기 수입지출장부'!$A$5:$A$2003,"&lt;"&amp;DATE(2026,E$5+1,1),'3. 5기 수입지출장부'!$E$5:$E$2003,"&gt;0")&gt;0,"■","")</f>
        <v/>
      </c>
      <c r="F21" s="14" t="str">
        <f>IF(COUNTIFS('3. 5기 수입지출장부'!$C$5:$C$2003,$C20,'3. 5기 수입지출장부'!$A$5:$A$2003,"&gt;="&amp;DATE(2026,F$5,1),'3. 5기 수입지출장부'!$A$5:$A$2003,"&lt;"&amp;DATE(2026,F$5+1,1),'3. 5기 수입지출장부'!$E$5:$E$2003,"&gt;0")&gt;0,"■","")</f>
        <v/>
      </c>
      <c r="G21" s="14" t="str">
        <f>IF(COUNTIFS('3. 5기 수입지출장부'!$C$5:$C$2003,$C20,'3. 5기 수입지출장부'!$A$5:$A$2003,"&gt;="&amp;DATE(2026,G$5,1),'3. 5기 수입지출장부'!$A$5:$A$2003,"&lt;"&amp;DATE(2026,G$5+1,1),'3. 5기 수입지출장부'!$E$5:$E$2003,"&gt;0")&gt;0,"■","")</f>
        <v/>
      </c>
      <c r="H21" s="9" t="str">
        <f>IF(COUNTIFS('3. 5기 수입지출장부'!$C$5:$C$2003,$C20,'3. 5기 수입지출장부'!$A$5:$A$2003,"&gt;="&amp;DATE(2026,H$5,1),'3. 5기 수입지출장부'!$A$5:$A$2003,"&lt;"&amp;DATE(2026,H$5+1,1),'3. 5기 수입지출장부'!$E$5:$E$2003,"&gt;0")&gt;0,"■","")</f>
        <v/>
      </c>
      <c r="I21" s="14" t="str">
        <f>IF(COUNTIFS('3. 5기 수입지출장부'!$C$5:$C$2003,$C20,'3. 5기 수입지출장부'!$A$5:$A$2003,"&gt;="&amp;DATE(2026,I$5,1),'3. 5기 수입지출장부'!$A$5:$A$2003,"&lt;"&amp;DATE(2026,I$5+1,1),'3. 5기 수입지출장부'!$E$5:$E$2003,"&gt;0")&gt;0,"■","")</f>
        <v/>
      </c>
      <c r="J21" s="9" t="str">
        <f>IF(COUNTIFS('3. 5기 수입지출장부'!$C$5:$C$2003,$C20,'3. 5기 수입지출장부'!$A$5:$A$2003,"&gt;="&amp;DATE(2026,J$5,1),'3. 5기 수입지출장부'!$A$5:$A$2003,"&lt;"&amp;DATE(2026,J$5+1,1),'3. 5기 수입지출장부'!$E$5:$E$2003,"&gt;0")&gt;0,"■","")</f>
        <v/>
      </c>
      <c r="K21" s="14" t="str">
        <f>IF(COUNTIFS('3. 5기 수입지출장부'!$C$5:$C$2003,$C20,'3. 5기 수입지출장부'!$A$5:$A$2003,"&gt;="&amp;DATE(2026,K$5,1),'3. 5기 수입지출장부'!$A$5:$A$2003,"&lt;"&amp;DATE(2026,K$5+1,1),'3. 5기 수입지출장부'!$E$5:$E$2003,"&gt;0")&gt;0,"■","")</f>
        <v/>
      </c>
      <c r="L21" s="14" t="str">
        <f>IF(COUNTIFS('3. 5기 수입지출장부'!$C$5:$C$2003,$C20,'3. 5기 수입지출장부'!$A$5:$A$2003,"&gt;="&amp;DATE(2026,L$5,1),'3. 5기 수입지출장부'!$A$5:$A$2003,"&lt;"&amp;DATE(2026,L$5+1,1),'3. 5기 수입지출장부'!$E$5:$E$2003,"&gt;0")&gt;0,"■","")</f>
        <v>■</v>
      </c>
      <c r="M21" s="14" t="str">
        <f>IF(COUNTIFS('3. 5기 수입지출장부'!$C$5:$C$2003,$C20,'3. 5기 수입지출장부'!$A$5:$A$2003,"&gt;="&amp;DATE(2026,M$5,1),'3. 5기 수입지출장부'!$A$5:$A$2003,"&lt;"&amp;DATE(2026,M$5+1,1),'3. 5기 수입지출장부'!$E$5:$E$2003,"&gt;0")&gt;0,"■","")</f>
        <v/>
      </c>
      <c r="N21" s="14" t="str">
        <f>IF(COUNTIFS('3. 5기 수입지출장부'!$C$5:$C$2003,$C20,'3. 5기 수입지출장부'!$A$5:$A$2003,"&gt;="&amp;DATE(2026,N$5,1),'3. 5기 수입지출장부'!$A$5:$A$2003,"&lt;"&amp;DATE(2026,N$5+1,1),'3. 5기 수입지출장부'!$E$5:$E$2003,"&gt;0")&gt;0,"■","")</f>
        <v/>
      </c>
      <c r="O21" s="21" t="str">
        <f>IF(COUNTIFS('3. 5기 수입지출장부'!$C$5:$C$2003,$C20,'3. 5기 수입지출장부'!$A$5:$A$2003,"&gt;="&amp;DATE(2026,O$5,1),'3. 5기 수입지출장부'!$A$5:$A$2003,"&lt;"&amp;DATE(2026,O$5+1,1),'3. 5기 수입지출장부'!$E$5:$E$2003,"&gt;0")&gt;0,"■","")</f>
        <v/>
      </c>
      <c r="P21" s="14" t="str">
        <f>IF(COUNTIFS('3. 5기 수입지출장부'!$C$5:$C$2003,$C20,'3. 5기 수입지출장부'!$A$5:$A$2003,"&gt;="&amp;DATE(2026,P$5,1),'3. 5기 수입지출장부'!$A$5:$A$2003,"&lt;"&amp;DATE(2026,P$5+1,1),'3. 5기 수입지출장부'!$E$5:$E$2003,"&gt;0")&gt;0,"■","")</f>
        <v/>
      </c>
      <c r="Q21" s="175">
        <f>'3. 5기 수입지출장부'!E199</f>
        <v>135000</v>
      </c>
      <c r="R21" s="176"/>
      <c r="S21" s="184"/>
      <c r="T21" s="184"/>
      <c r="U21" s="3"/>
      <c r="V21" s="3"/>
      <c r="W21" s="3"/>
      <c r="X21" s="199"/>
      <c r="Y21" s="201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4"/>
      <c r="AN21" s="180"/>
      <c r="AO21" s="215"/>
      <c r="AP21" s="201"/>
    </row>
    <row r="22" spans="1:42" ht="24.75" customHeight="1">
      <c r="A22" s="3"/>
      <c r="B22" s="185">
        <v>9</v>
      </c>
      <c r="C22" s="177" t="s">
        <v>59</v>
      </c>
      <c r="D22" s="6" t="s">
        <v>282</v>
      </c>
      <c r="E22" s="11"/>
      <c r="F22" s="11"/>
      <c r="G22" s="11"/>
      <c r="H22" s="11"/>
      <c r="I22" s="11"/>
      <c r="J22" s="5"/>
      <c r="K22" s="11"/>
      <c r="L22" s="11"/>
      <c r="M22" s="11"/>
      <c r="N22" s="11"/>
      <c r="O22" s="11"/>
      <c r="P22" s="11"/>
      <c r="Q22" s="211">
        <f>'2. 5기_예산목간'!D38</f>
        <v>3600000</v>
      </c>
      <c r="R22" s="212"/>
      <c r="S22" s="183">
        <f>Q23/Q22</f>
        <v>0.80293888888888887</v>
      </c>
      <c r="T22" s="195" t="s">
        <v>283</v>
      </c>
      <c r="U22" s="3"/>
      <c r="V22" s="3"/>
      <c r="W22" s="3"/>
      <c r="X22" s="180"/>
      <c r="Y22" s="180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79"/>
      <c r="AN22" s="180"/>
      <c r="AO22" s="180"/>
      <c r="AP22" s="180"/>
    </row>
    <row r="23" spans="1:42" ht="24.75" customHeight="1">
      <c r="A23" s="3"/>
      <c r="B23" s="182"/>
      <c r="C23" s="178"/>
      <c r="D23" s="14" t="s">
        <v>280</v>
      </c>
      <c r="E23" s="9" t="str">
        <f>IF(COUNTIFS('3. 5기 수입지출장부'!$C$5:$C$2003,$C22,'3. 5기 수입지출장부'!$A$5:$A$2003,"&gt;="&amp;DATE(2026,E$5,1),'3. 5기 수입지출장부'!$A$5:$A$2003,"&lt;"&amp;DATE(2026,E$5+1,1),'3. 5기 수입지출장부'!$E$5:$E$2003,"&gt;0")&gt;0,"■","")</f>
        <v/>
      </c>
      <c r="F23" s="9" t="str">
        <f>IF(COUNTIFS('3. 5기 수입지출장부'!$C$5:$C$2003,$C22,'3. 5기 수입지출장부'!$A$5:$A$2003,"&gt;="&amp;DATE(2026,F$5,1),'3. 5기 수입지출장부'!$A$5:$A$2003,"&lt;"&amp;DATE(2026,F$5+1,1),'3. 5기 수입지출장부'!$E$5:$E$2003,"&gt;0")&gt;0,"■","")</f>
        <v/>
      </c>
      <c r="G23" s="9" t="str">
        <f>IF(COUNTIFS('3. 5기 수입지출장부'!$C$5:$C$2003,$C22,'3. 5기 수입지출장부'!$A$5:$A$2003,"&gt;="&amp;DATE(2026,G$5,1),'3. 5기 수입지출장부'!$A$5:$A$2003,"&lt;"&amp;DATE(2026,G$5+1,1),'3. 5기 수입지출장부'!$E$5:$E$2003,"&gt;0")&gt;0,"■","")</f>
        <v>■</v>
      </c>
      <c r="H23" s="9" t="str">
        <f>IF(COUNTIFS('3. 5기 수입지출장부'!$C$5:$C$2003,$C22,'3. 5기 수입지출장부'!$A$5:$A$2003,"&gt;="&amp;DATE(2026,H$5,1),'3. 5기 수입지출장부'!$A$5:$A$2003,"&lt;"&amp;DATE(2026,H$5+1,1),'3. 5기 수입지출장부'!$E$5:$E$2003,"&gt;0")&gt;0,"■","")</f>
        <v>■</v>
      </c>
      <c r="I23" s="9" t="str">
        <f>IF(COUNTIFS('3. 5기 수입지출장부'!$C$5:$C$2003,$C22,'3. 5기 수입지출장부'!$A$5:$A$2003,"&gt;="&amp;DATE(2026,I$5,1),'3. 5기 수입지출장부'!$A$5:$A$2003,"&lt;"&amp;DATE(2026,I$5+1,1),'3. 5기 수입지출장부'!$E$5:$E$2003,"&gt;0")&gt;0,"■","")</f>
        <v>■</v>
      </c>
      <c r="J23" s="9" t="str">
        <f>IF(COUNTIFS('3. 5기 수입지출장부'!$C$5:$C$2003,$C22,'3. 5기 수입지출장부'!$A$5:$A$2003,"&gt;="&amp;DATE(2026,J$5,1),'3. 5기 수입지출장부'!$A$5:$A$2003,"&lt;"&amp;DATE(2026,J$5+1,1),'3. 5기 수입지출장부'!$E$5:$E$2003,"&gt;0")&gt;0,"■","")</f>
        <v>■</v>
      </c>
      <c r="K23" s="9" t="str">
        <f>IF(COUNTIFS('3. 5기 수입지출장부'!$C$5:$C$2003,$C22,'3. 5기 수입지출장부'!$A$5:$A$2003,"&gt;="&amp;DATE(2026,K$5,1),'3. 5기 수입지출장부'!$A$5:$A$2003,"&lt;"&amp;DATE(2026,K$5+1,1),'3. 5기 수입지출장부'!$E$5:$E$2003,"&gt;0")&gt;0,"■","")</f>
        <v>■</v>
      </c>
      <c r="L23" s="9" t="str">
        <f>IF(COUNTIFS('3. 5기 수입지출장부'!$C$5:$C$2003,$C22,'3. 5기 수입지출장부'!$A$5:$A$2003,"&gt;="&amp;DATE(2026,L$5,1),'3. 5기 수입지출장부'!$A$5:$A$2003,"&lt;"&amp;DATE(2026,L$5+1,1),'3. 5기 수입지출장부'!$E$5:$E$2003,"&gt;0")&gt;0,"■","")</f>
        <v>■</v>
      </c>
      <c r="M23" s="9" t="str">
        <f>IF(COUNTIFS('3. 5기 수입지출장부'!$C$5:$C$2003,$C22,'3. 5기 수입지출장부'!$A$5:$A$2003,"&gt;="&amp;DATE(2026,M$5,1),'3. 5기 수입지출장부'!$A$5:$A$2003,"&lt;"&amp;DATE(2026,M$5+1,1),'3. 5기 수입지출장부'!$E$5:$E$2003,"&gt;0")&gt;0,"■","")</f>
        <v>■</v>
      </c>
      <c r="N23" s="9" t="str">
        <f>IF(COUNTIFS('3. 5기 수입지출장부'!$C$5:$C$2003,$C22,'3. 5기 수입지출장부'!$A$5:$A$2003,"&gt;="&amp;DATE(2026,N$5,1),'3. 5기 수입지출장부'!$A$5:$A$2003,"&lt;"&amp;DATE(2026,N$5+1,1),'3. 5기 수입지출장부'!$E$5:$E$2003,"&gt;0")&gt;0,"■","")</f>
        <v/>
      </c>
      <c r="O23" s="9" t="str">
        <f>IF(COUNTIFS('3. 5기 수입지출장부'!$C$5:$C$2003,$C22,'3. 5기 수입지출장부'!$A$5:$A$2003,"&gt;="&amp;DATE(2026,O$5,1),'3. 5기 수입지출장부'!$A$5:$A$2003,"&lt;"&amp;DATE(2026,O$5+1,1),'3. 5기 수입지출장부'!$E$5:$E$2003,"&gt;0")&gt;0,"■","")</f>
        <v/>
      </c>
      <c r="P23" s="9" t="str">
        <f>IF(COUNTIFS('3. 5기 수입지출장부'!$C$5:$C$2003,$C22,'3. 5기 수입지출장부'!$A$5:$A$2003,"&gt;="&amp;DATE(2026,P$5,1),'3. 5기 수입지출장부'!$A$5:$A$2003,"&lt;"&amp;DATE(2026,P$5+1,1),'3. 5기 수입지출장부'!$E$5:$E$2003,"&gt;0")&gt;0,"■","")</f>
        <v/>
      </c>
      <c r="Q23" s="175">
        <f>'3. 5기 수입지출장부'!E201</f>
        <v>2890580</v>
      </c>
      <c r="R23" s="176"/>
      <c r="S23" s="184"/>
      <c r="T23" s="184"/>
      <c r="U23" s="3"/>
      <c r="V23" s="3"/>
      <c r="W23" s="3"/>
      <c r="X23" s="199"/>
      <c r="Y23" s="201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4"/>
      <c r="AN23" s="180"/>
      <c r="AO23" s="215"/>
      <c r="AP23" s="201"/>
    </row>
    <row r="24" spans="1:42" ht="24.75" customHeight="1">
      <c r="A24" s="3"/>
      <c r="B24" s="181">
        <v>10</v>
      </c>
      <c r="C24" s="177" t="s">
        <v>56</v>
      </c>
      <c r="D24" s="6" t="s">
        <v>282</v>
      </c>
      <c r="E24" s="11"/>
      <c r="F24" s="11"/>
      <c r="G24" s="11"/>
      <c r="H24" s="11"/>
      <c r="I24" s="11"/>
      <c r="J24" s="6"/>
      <c r="K24" s="11"/>
      <c r="L24" s="11"/>
      <c r="M24" s="11"/>
      <c r="N24" s="11"/>
      <c r="O24" s="11"/>
      <c r="P24" s="11"/>
      <c r="Q24" s="211">
        <f>'2. 5기_예산목간'!D39</f>
        <v>8000000</v>
      </c>
      <c r="R24" s="212"/>
      <c r="S24" s="183">
        <f>Q25/Q24</f>
        <v>0.36256250000000001</v>
      </c>
      <c r="T24" s="245" t="s">
        <v>289</v>
      </c>
      <c r="U24" s="3"/>
      <c r="V24" s="3"/>
      <c r="W24" s="3"/>
      <c r="X24" s="180"/>
      <c r="Y24" s="180"/>
      <c r="Z24" s="19"/>
      <c r="AA24" s="22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79"/>
      <c r="AN24" s="180"/>
      <c r="AO24" s="180"/>
      <c r="AP24" s="180"/>
    </row>
    <row r="25" spans="1:42" ht="24.75" customHeight="1">
      <c r="A25" s="3"/>
      <c r="B25" s="182"/>
      <c r="C25" s="178"/>
      <c r="D25" s="14" t="s">
        <v>280</v>
      </c>
      <c r="E25" s="14" t="str">
        <f>IF(COUNTIFS('3. 5기 수입지출장부'!$C$5:$C$2003,$C24,'3. 5기 수입지출장부'!$A$5:$A$2003,"&gt;="&amp;DATE(2026,E$5,1),'3. 5기 수입지출장부'!$A$5:$A$2003,"&lt;"&amp;DATE(2026,E$5+1,1),'3. 5기 수입지출장부'!$E$5:$E$2003,"&gt;0")&gt;0,"■","")</f>
        <v/>
      </c>
      <c r="F25" s="14" t="str">
        <f>IF(COUNTIFS('3. 5기 수입지출장부'!$C$5:$C$2003,$C24,'3. 5기 수입지출장부'!$A$5:$A$2003,"&gt;="&amp;DATE(2026,F$5,1),'3. 5기 수입지출장부'!$A$5:$A$2003,"&lt;"&amp;DATE(2026,F$5+1,1),'3. 5기 수입지출장부'!$E$5:$E$2003,"&gt;0")&gt;0,"■","")</f>
        <v/>
      </c>
      <c r="G25" s="9" t="str">
        <f>IF(COUNTIFS('3. 5기 수입지출장부'!$C$5:$C$2003,$C24,'3. 5기 수입지출장부'!$A$5:$A$2003,"&gt;="&amp;DATE(2026,G$5,1),'3. 5기 수입지출장부'!$A$5:$A$2003,"&lt;"&amp;DATE(2026,G$5+1,1),'3. 5기 수입지출장부'!$E$5:$E$2003,"&gt;0")&gt;0,"■","")</f>
        <v>■</v>
      </c>
      <c r="H25" s="9" t="str">
        <f>IF(COUNTIFS('3. 5기 수입지출장부'!$C$5:$C$2003,$C24,'3. 5기 수입지출장부'!$A$5:$A$2003,"&gt;="&amp;DATE(2026,H$5,1),'3. 5기 수입지출장부'!$A$5:$A$2003,"&lt;"&amp;DATE(2026,H$5+1,1),'3. 5기 수입지출장부'!$E$5:$E$2003,"&gt;0")&gt;0,"■","")</f>
        <v>■</v>
      </c>
      <c r="I25" s="9" t="str">
        <f>IF(COUNTIFS('3. 5기 수입지출장부'!$C$5:$C$2003,$C24,'3. 5기 수입지출장부'!$A$5:$A$2003,"&gt;="&amp;DATE(2026,I$5,1),'3. 5기 수입지출장부'!$A$5:$A$2003,"&lt;"&amp;DATE(2026,I$5+1,1),'3. 5기 수입지출장부'!$E$5:$E$2003,"&gt;0")&gt;0,"■","")</f>
        <v>■</v>
      </c>
      <c r="J25" s="9" t="str">
        <f>IF(COUNTIFS('3. 5기 수입지출장부'!$C$5:$C$2003,$C24,'3. 5기 수입지출장부'!$A$5:$A$2003,"&gt;="&amp;DATE(2026,J$5,1),'3. 5기 수입지출장부'!$A$5:$A$2003,"&lt;"&amp;DATE(2026,J$5+1,1),'3. 5기 수입지출장부'!$E$5:$E$2003,"&gt;0")&gt;0,"■","")</f>
        <v/>
      </c>
      <c r="K25" s="9" t="str">
        <f>IF(COUNTIFS('3. 5기 수입지출장부'!$C$5:$C$2003,$C24,'3. 5기 수입지출장부'!$A$5:$A$2003,"&gt;="&amp;DATE(2026,K$5,1),'3. 5기 수입지출장부'!$A$5:$A$2003,"&lt;"&amp;DATE(2026,K$5+1,1),'3. 5기 수입지출장부'!$E$5:$E$2003,"&gt;0")&gt;0,"■","")</f>
        <v>■</v>
      </c>
      <c r="L25" s="9" t="str">
        <f>IF(COUNTIFS('3. 5기 수입지출장부'!$C$5:$C$2003,$C24,'3. 5기 수입지출장부'!$A$5:$A$2003,"&gt;="&amp;DATE(2026,L$5,1),'3. 5기 수입지출장부'!$A$5:$A$2003,"&lt;"&amp;DATE(2026,L$5+1,1),'3. 5기 수입지출장부'!$E$5:$E$2003,"&gt;0")&gt;0,"■","")</f>
        <v>■</v>
      </c>
      <c r="M25" s="9" t="str">
        <f>IF(COUNTIFS('3. 5기 수입지출장부'!$C$5:$C$2003,$C24,'3. 5기 수입지출장부'!$A$5:$A$2003,"&gt;="&amp;DATE(2026,M$5,1),'3. 5기 수입지출장부'!$A$5:$A$2003,"&lt;"&amp;DATE(2026,M$5+1,1),'3. 5기 수입지출장부'!$E$5:$E$2003,"&gt;0")&gt;0,"■","")</f>
        <v/>
      </c>
      <c r="N25" s="9" t="str">
        <f>IF(COUNTIFS('3. 5기 수입지출장부'!$C$5:$C$2003,$C24,'3. 5기 수입지출장부'!$A$5:$A$2003,"&gt;="&amp;DATE(2026,N$5,1),'3. 5기 수입지출장부'!$A$5:$A$2003,"&lt;"&amp;DATE(2026,N$5+1,1),'3. 5기 수입지출장부'!$E$5:$E$2003,"&gt;0")&gt;0,"■","")</f>
        <v/>
      </c>
      <c r="O25" s="9" t="str">
        <f>IF(COUNTIFS('3. 5기 수입지출장부'!$C$5:$C$2003,$C24,'3. 5기 수입지출장부'!$A$5:$A$2003,"&gt;="&amp;DATE(2026,O$5,1),'3. 5기 수입지출장부'!$A$5:$A$2003,"&lt;"&amp;DATE(2026,O$5+1,1),'3. 5기 수입지출장부'!$E$5:$E$2003,"&gt;0")&gt;0,"■","")</f>
        <v/>
      </c>
      <c r="P25" s="9" t="str">
        <f>IF(COUNTIFS('3. 5기 수입지출장부'!$C$5:$C$2003,$C24,'3. 5기 수입지출장부'!$A$5:$A$2003,"&gt;="&amp;DATE(2026,P$5,1),'3. 5기 수입지출장부'!$A$5:$A$2003,"&lt;"&amp;DATE(2026,P$5+1,1),'3. 5기 수입지출장부'!$E$5:$E$2003,"&gt;0")&gt;0,"■","")</f>
        <v/>
      </c>
      <c r="Q25" s="175">
        <f>'3. 5기 수입지출장부'!E202</f>
        <v>2900500</v>
      </c>
      <c r="R25" s="176"/>
      <c r="S25" s="184"/>
      <c r="T25" s="246"/>
      <c r="U25" s="3"/>
      <c r="V25" s="3"/>
      <c r="W25" s="13"/>
      <c r="X25" s="199"/>
      <c r="Y25" s="201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4"/>
      <c r="AN25" s="180"/>
      <c r="AO25" s="215"/>
      <c r="AP25" s="201"/>
    </row>
    <row r="26" spans="1:42" ht="24.75" customHeight="1">
      <c r="A26" s="3"/>
      <c r="B26" s="181">
        <f>B24+1</f>
        <v>11</v>
      </c>
      <c r="C26" s="177" t="s">
        <v>259</v>
      </c>
      <c r="D26" s="6" t="s">
        <v>282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211">
        <f>'2. 5기_예산목간'!D40</f>
        <v>300000</v>
      </c>
      <c r="R26" s="212"/>
      <c r="S26" s="183">
        <f>Q27/Q26</f>
        <v>0</v>
      </c>
      <c r="T26" s="195" t="s">
        <v>283</v>
      </c>
      <c r="U26" s="3"/>
      <c r="V26" s="3"/>
      <c r="W26" s="13"/>
      <c r="X26" s="180"/>
      <c r="Y26" s="180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79"/>
      <c r="AN26" s="180"/>
      <c r="AO26" s="180"/>
      <c r="AP26" s="180"/>
    </row>
    <row r="27" spans="1:42" ht="24.75" customHeight="1">
      <c r="A27" s="3"/>
      <c r="B27" s="182"/>
      <c r="C27" s="178"/>
      <c r="D27" s="14" t="s">
        <v>280</v>
      </c>
      <c r="E27" s="14" t="str">
        <f>IF(COUNTIFS('3. 5기 수입지출장부'!$C$5:$C$2003,$C26,'3. 5기 수입지출장부'!$A$5:$A$2003,"&gt;="&amp;DATE(2026,E$5,1),'3. 5기 수입지출장부'!$A$5:$A$2003,"&lt;"&amp;DATE(2026,E$5+1,1),'3. 5기 수입지출장부'!$E$5:$E$2003,"&gt;0")&gt;0,"■","")</f>
        <v/>
      </c>
      <c r="F27" s="14" t="str">
        <f>IF(COUNTIFS('3. 5기 수입지출장부'!$C$5:$C$2003,$C26,'3. 5기 수입지출장부'!$A$5:$A$2003,"&gt;="&amp;DATE(2026,F$5,1),'3. 5기 수입지출장부'!$A$5:$A$2003,"&lt;"&amp;DATE(2026,F$5+1,1),'3. 5기 수입지출장부'!$E$5:$E$2003,"&gt;0")&gt;0,"■","")</f>
        <v/>
      </c>
      <c r="G27" s="14" t="str">
        <f>IF(COUNTIFS('3. 5기 수입지출장부'!$C$5:$C$2003,$C26,'3. 5기 수입지출장부'!$A$5:$A$2003,"&gt;="&amp;DATE(2026,G$5,1),'3. 5기 수입지출장부'!$A$5:$A$2003,"&lt;"&amp;DATE(2026,G$5+1,1),'3. 5기 수입지출장부'!$E$5:$E$2003,"&gt;0")&gt;0,"■","")</f>
        <v/>
      </c>
      <c r="H27" s="14" t="str">
        <f>IF(COUNTIFS('3. 5기 수입지출장부'!$C$5:$C$2003,$C26,'3. 5기 수입지출장부'!$A$5:$A$2003,"&gt;="&amp;DATE(2026,H$5,1),'3. 5기 수입지출장부'!$A$5:$A$2003,"&lt;"&amp;DATE(2026,H$5+1,1),'3. 5기 수입지출장부'!$E$5:$E$2003,"&gt;0")&gt;0,"■","")</f>
        <v/>
      </c>
      <c r="I27" s="14" t="str">
        <f>IF(COUNTIFS('3. 5기 수입지출장부'!$C$5:$C$2003,$C26,'3. 5기 수입지출장부'!$A$5:$A$2003,"&gt;="&amp;DATE(2026,I$5,1),'3. 5기 수입지출장부'!$A$5:$A$2003,"&lt;"&amp;DATE(2026,I$5+1,1),'3. 5기 수입지출장부'!$E$5:$E$2003,"&gt;0")&gt;0,"■","")</f>
        <v/>
      </c>
      <c r="J27" s="14" t="str">
        <f>IF(COUNTIFS('3. 5기 수입지출장부'!$C$5:$C$2003,$C26,'3. 5기 수입지출장부'!$A$5:$A$2003,"&gt;="&amp;DATE(2026,J$5,1),'3. 5기 수입지출장부'!$A$5:$A$2003,"&lt;"&amp;DATE(2026,J$5+1,1),'3. 5기 수입지출장부'!$E$5:$E$2003,"&gt;0")&gt;0,"■","")</f>
        <v/>
      </c>
      <c r="K27" s="14" t="str">
        <f>IF(COUNTIFS('3. 5기 수입지출장부'!$C$5:$C$2003,$C26,'3. 5기 수입지출장부'!$A$5:$A$2003,"&gt;="&amp;DATE(2026,K$5,1),'3. 5기 수입지출장부'!$A$5:$A$2003,"&lt;"&amp;DATE(2026,K$5+1,1),'3. 5기 수입지출장부'!$E$5:$E$2003,"&gt;0")&gt;0,"■","")</f>
        <v/>
      </c>
      <c r="L27" s="14" t="str">
        <f>IF(COUNTIFS('3. 5기 수입지출장부'!$C$5:$C$2003,$C26,'3. 5기 수입지출장부'!$A$5:$A$2003,"&gt;="&amp;DATE(2026,L$5,1),'3. 5기 수입지출장부'!$A$5:$A$2003,"&lt;"&amp;DATE(2026,L$5+1,1),'3. 5기 수입지출장부'!$E$5:$E$2003,"&gt;0")&gt;0,"■","")</f>
        <v/>
      </c>
      <c r="M27" s="14" t="str">
        <f>IF(COUNTIFS('3. 5기 수입지출장부'!$C$5:$C$2003,$C26,'3. 5기 수입지출장부'!$A$5:$A$2003,"&gt;="&amp;DATE(2026,M$5,1),'3. 5기 수입지출장부'!$A$5:$A$2003,"&lt;"&amp;DATE(2026,M$5+1,1),'3. 5기 수입지출장부'!$E$5:$E$2003,"&gt;0")&gt;0,"■","")</f>
        <v/>
      </c>
      <c r="N27" s="14" t="str">
        <f>IF(COUNTIFS('3. 5기 수입지출장부'!$C$5:$C$2003,$C26,'3. 5기 수입지출장부'!$A$5:$A$2003,"&gt;="&amp;DATE(2026,N$5,1),'3. 5기 수입지출장부'!$A$5:$A$2003,"&lt;"&amp;DATE(2026,N$5+1,1),'3. 5기 수입지출장부'!$E$5:$E$2003,"&gt;0")&gt;0,"■","")</f>
        <v/>
      </c>
      <c r="O27" s="14" t="str">
        <f>IF(COUNTIFS('3. 5기 수입지출장부'!$C$5:$C$2003,$C26,'3. 5기 수입지출장부'!$A$5:$A$2003,"&gt;="&amp;DATE(2026,O$5,1),'3. 5기 수입지출장부'!$A$5:$A$2003,"&lt;"&amp;DATE(2026,O$5+1,1),'3. 5기 수입지출장부'!$E$5:$E$2003,"&gt;0")&gt;0,"■","")</f>
        <v/>
      </c>
      <c r="P27" s="9" t="str">
        <f>IF(COUNTIFS('3. 5기 수입지출장부'!$C$5:$C$2003,$C26,'3. 5기 수입지출장부'!$A$5:$A$2003,"&gt;="&amp;DATE(2026,P$5,1),'3. 5기 수입지출장부'!$A$5:$A$2003,"&lt;"&amp;DATE(2026,P$5+1,1),'3. 5기 수입지출장부'!$E$5:$E$2003,"&gt;0")&gt;0,"■","")</f>
        <v/>
      </c>
      <c r="Q27" s="175">
        <f>'3. 5기 수입지출장부'!E203</f>
        <v>0</v>
      </c>
      <c r="R27" s="176"/>
      <c r="S27" s="184"/>
      <c r="T27" s="184"/>
      <c r="U27" s="3"/>
      <c r="V27" s="3"/>
      <c r="W27" s="3"/>
      <c r="X27" s="199"/>
      <c r="Y27" s="201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4"/>
      <c r="AN27" s="180"/>
      <c r="AO27" s="215"/>
      <c r="AP27" s="201"/>
    </row>
    <row r="28" spans="1:42" ht="24.75" customHeight="1">
      <c r="A28" s="3"/>
      <c r="B28" s="181">
        <v>12</v>
      </c>
      <c r="C28" s="177" t="s">
        <v>261</v>
      </c>
      <c r="D28" s="6" t="s">
        <v>282</v>
      </c>
      <c r="E28" s="6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211">
        <f>'2. 5기_예산목간'!D41</f>
        <v>4000000</v>
      </c>
      <c r="R28" s="212"/>
      <c r="S28" s="183">
        <f>Q29/Q28</f>
        <v>0</v>
      </c>
      <c r="T28" s="195" t="s">
        <v>289</v>
      </c>
      <c r="U28" s="3"/>
      <c r="V28" s="3"/>
      <c r="W28" s="3"/>
      <c r="X28" s="180"/>
      <c r="Y28" s="180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79"/>
      <c r="AN28" s="180"/>
      <c r="AO28" s="180"/>
      <c r="AP28" s="180"/>
    </row>
    <row r="29" spans="1:42" ht="24.75" customHeight="1">
      <c r="A29" s="3"/>
      <c r="B29" s="182"/>
      <c r="C29" s="178"/>
      <c r="D29" s="14" t="s">
        <v>280</v>
      </c>
      <c r="E29" s="14" t="str">
        <f>IF(COUNTIFS('3. 5기 수입지출장부'!$C$5:$C$2003,$C28,'3. 5기 수입지출장부'!$A$5:$A$2003,"&gt;="&amp;DATE(2026,E$5,1),'3. 5기 수입지출장부'!$A$5:$A$2003,"&lt;"&amp;DATE(2026,E$5+1,1),'3. 5기 수입지출장부'!$E$5:$E$2003,"&gt;0")&gt;0,"■","")</f>
        <v/>
      </c>
      <c r="F29" s="14" t="str">
        <f>IF(COUNTIFS('3. 5기 수입지출장부'!$C$5:$C$2003,$C28,'3. 5기 수입지출장부'!$A$5:$A$2003,"&gt;="&amp;DATE(2026,F$5,1),'3. 5기 수입지출장부'!$A$5:$A$2003,"&lt;"&amp;DATE(2026,F$5+1,1),'3. 5기 수입지출장부'!$E$5:$E$2003,"&gt;0")&gt;0,"■","")</f>
        <v/>
      </c>
      <c r="G29" s="14" t="str">
        <f>IF(COUNTIFS('3. 5기 수입지출장부'!$C$5:$C$2003,$C28,'3. 5기 수입지출장부'!$A$5:$A$2003,"&gt;="&amp;DATE(2026,G$5,1),'3. 5기 수입지출장부'!$A$5:$A$2003,"&lt;"&amp;DATE(2026,G$5+1,1),'3. 5기 수입지출장부'!$E$5:$E$2003,"&gt;0")&gt;0,"■","")</f>
        <v/>
      </c>
      <c r="H29" s="14" t="str">
        <f>IF(COUNTIFS('3. 5기 수입지출장부'!$C$5:$C$2003,$C28,'3. 5기 수입지출장부'!$A$5:$A$2003,"&gt;="&amp;DATE(2026,H$5,1),'3. 5기 수입지출장부'!$A$5:$A$2003,"&lt;"&amp;DATE(2026,H$5+1,1),'3. 5기 수입지출장부'!$E$5:$E$2003,"&gt;0")&gt;0,"■","")</f>
        <v/>
      </c>
      <c r="I29" s="14" t="str">
        <f>IF(COUNTIFS('3. 5기 수입지출장부'!$C$5:$C$2003,$C28,'3. 5기 수입지출장부'!$A$5:$A$2003,"&gt;="&amp;DATE(2026,I$5,1),'3. 5기 수입지출장부'!$A$5:$A$2003,"&lt;"&amp;DATE(2026,I$5+1,1),'3. 5기 수입지출장부'!$E$5:$E$2003,"&gt;0")&gt;0,"■","")</f>
        <v/>
      </c>
      <c r="J29" s="14" t="str">
        <f>IF(COUNTIFS('3. 5기 수입지출장부'!$C$5:$C$2003,$C28,'3. 5기 수입지출장부'!$A$5:$A$2003,"&gt;="&amp;DATE(2026,J$5,1),'3. 5기 수입지출장부'!$A$5:$A$2003,"&lt;"&amp;DATE(2026,J$5+1,1),'3. 5기 수입지출장부'!$E$5:$E$2003,"&gt;0")&gt;0,"■","")</f>
        <v/>
      </c>
      <c r="K29" s="14" t="str">
        <f>IF(COUNTIFS('3. 5기 수입지출장부'!$C$5:$C$2003,$C28,'3. 5기 수입지출장부'!$A$5:$A$2003,"&gt;="&amp;DATE(2026,K$5,1),'3. 5기 수입지출장부'!$A$5:$A$2003,"&lt;"&amp;DATE(2026,K$5+1,1),'3. 5기 수입지출장부'!$E$5:$E$2003,"&gt;0")&gt;0,"■","")</f>
        <v/>
      </c>
      <c r="L29" s="14" t="str">
        <f>IF(COUNTIFS('3. 5기 수입지출장부'!$C$5:$C$2003,$C28,'3. 5기 수입지출장부'!$A$5:$A$2003,"&gt;="&amp;DATE(2026,L$5,1),'3. 5기 수입지출장부'!$A$5:$A$2003,"&lt;"&amp;DATE(2026,L$5+1,1),'3. 5기 수입지출장부'!$E$5:$E$2003,"&gt;0")&gt;0,"■","")</f>
        <v/>
      </c>
      <c r="M29" s="9" t="str">
        <f>IF(COUNTIFS('3. 5기 수입지출장부'!$C$5:$C$2003,$C28,'3. 5기 수입지출장부'!$A$5:$A$2003,"&gt;="&amp;DATE(2026,M$5,1),'3. 5기 수입지출장부'!$A$5:$A$2003,"&lt;"&amp;DATE(2026,M$5+1,1),'3. 5기 수입지출장부'!$E$5:$E$2003,"&gt;0")&gt;0,"■","")</f>
        <v/>
      </c>
      <c r="N29" s="9" t="str">
        <f>IF(COUNTIFS('3. 5기 수입지출장부'!$C$5:$C$2003,$C28,'3. 5기 수입지출장부'!$A$5:$A$2003,"&gt;="&amp;DATE(2026,N$5,1),'3. 5기 수입지출장부'!$A$5:$A$2003,"&lt;"&amp;DATE(2026,N$5+1,1),'3. 5기 수입지출장부'!$E$5:$E$2003,"&gt;0")&gt;0,"■","")</f>
        <v/>
      </c>
      <c r="O29" s="21" t="str">
        <f>IF(COUNTIFS('3. 5기 수입지출장부'!$C$5:$C$2003,$C28,'3. 5기 수입지출장부'!$A$5:$A$2003,"&gt;="&amp;DATE(2026,O$5,1),'3. 5기 수입지출장부'!$A$5:$A$2003,"&lt;"&amp;DATE(2026,O$5+1,1),'3. 5기 수입지출장부'!$E$5:$E$2003,"&gt;0")&gt;0,"■","")</f>
        <v/>
      </c>
      <c r="P29" s="14" t="str">
        <f>IF(COUNTIFS('3. 5기 수입지출장부'!$C$5:$C$2003,$C28,'3. 5기 수입지출장부'!$A$5:$A$2003,"&gt;="&amp;DATE(2026,P$5,1),'3. 5기 수입지출장부'!$A$5:$A$2003,"&lt;"&amp;DATE(2026,P$5+1,1),'3. 5기 수입지출장부'!$E$5:$E$2003,"&gt;0")&gt;0,"■","")</f>
        <v/>
      </c>
      <c r="Q29" s="175">
        <f>'3. 5기 수입지출장부'!E204</f>
        <v>0</v>
      </c>
      <c r="R29" s="176"/>
      <c r="S29" s="184"/>
      <c r="T29" s="184"/>
      <c r="U29" s="3"/>
      <c r="V29" s="3"/>
      <c r="W29" s="3"/>
      <c r="X29" s="199"/>
      <c r="Y29" s="201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4"/>
      <c r="AN29" s="180"/>
      <c r="AO29" s="215"/>
      <c r="AP29" s="201"/>
    </row>
    <row r="30" spans="1:42" ht="24.75" customHeight="1">
      <c r="A30" s="3"/>
      <c r="B30" s="185">
        <v>13</v>
      </c>
      <c r="C30" s="177" t="s">
        <v>253</v>
      </c>
      <c r="D30" s="6" t="s">
        <v>282</v>
      </c>
      <c r="E30" s="6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211">
        <f>'2. 5기_예산목간'!D42</f>
        <v>2300000</v>
      </c>
      <c r="R30" s="212"/>
      <c r="S30" s="183">
        <f>Q31/Q30</f>
        <v>0</v>
      </c>
      <c r="T30" s="195" t="s">
        <v>289</v>
      </c>
      <c r="U30" s="3"/>
      <c r="V30" s="3"/>
      <c r="W30" s="3"/>
      <c r="X30" s="180"/>
      <c r="Y30" s="180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23"/>
      <c r="AL30" s="19"/>
      <c r="AM30" s="179"/>
      <c r="AN30" s="180"/>
      <c r="AO30" s="180"/>
      <c r="AP30" s="180"/>
    </row>
    <row r="31" spans="1:42" ht="24.75" customHeight="1">
      <c r="A31" s="3"/>
      <c r="B31" s="182"/>
      <c r="C31" s="178"/>
      <c r="D31" s="14" t="s">
        <v>280</v>
      </c>
      <c r="E31" s="14" t="str">
        <f>IF(COUNTIFS('3. 5기 수입지출장부'!$C$5:$C$2003,$C30,'3. 5기 수입지출장부'!$A$5:$A$2003,"&gt;="&amp;DATE(2026,E$5,1),'3. 5기 수입지출장부'!$A$5:$A$2003,"&lt;"&amp;DATE(2026,E$5+1,1),'3. 5기 수입지출장부'!$E$5:$E$2003,"&gt;0")&gt;0,"■","")</f>
        <v/>
      </c>
      <c r="F31" s="14" t="str">
        <f>IF(COUNTIFS('3. 5기 수입지출장부'!$C$5:$C$2003,$C30,'3. 5기 수입지출장부'!$A$5:$A$2003,"&gt;="&amp;DATE(2026,F$5,1),'3. 5기 수입지출장부'!$A$5:$A$2003,"&lt;"&amp;DATE(2026,F$5+1,1),'3. 5기 수입지출장부'!$E$5:$E$2003,"&gt;0")&gt;0,"■","")</f>
        <v/>
      </c>
      <c r="G31" s="14" t="str">
        <f>IF(COUNTIFS('3. 5기 수입지출장부'!$C$5:$C$2003,$C30,'3. 5기 수입지출장부'!$A$5:$A$2003,"&gt;="&amp;DATE(2026,G$5,1),'3. 5기 수입지출장부'!$A$5:$A$2003,"&lt;"&amp;DATE(2026,G$5+1,1),'3. 5기 수입지출장부'!$E$5:$E$2003,"&gt;0")&gt;0,"■","")</f>
        <v/>
      </c>
      <c r="H31" s="14" t="str">
        <f>IF(COUNTIFS('3. 5기 수입지출장부'!$C$5:$C$2003,$C30,'3. 5기 수입지출장부'!$A$5:$A$2003,"&gt;="&amp;DATE(2026,H$5,1),'3. 5기 수입지출장부'!$A$5:$A$2003,"&lt;"&amp;DATE(2026,H$5+1,1),'3. 5기 수입지출장부'!$E$5:$E$2003,"&gt;0")&gt;0,"■","")</f>
        <v/>
      </c>
      <c r="I31" s="9" t="str">
        <f>IF(COUNTIFS('3. 5기 수입지출장부'!$C$5:$C$2003,$C30,'3. 5기 수입지출장부'!$A$5:$A$2003,"&gt;="&amp;DATE(2026,I$5,1),'3. 5기 수입지출장부'!$A$5:$A$2003,"&lt;"&amp;DATE(2026,I$5+1,1),'3. 5기 수입지출장부'!$E$5:$E$2003,"&gt;0")&gt;0,"■","")</f>
        <v/>
      </c>
      <c r="J31" s="9" t="str">
        <f>IF(COUNTIFS('3. 5기 수입지출장부'!$C$5:$C$2003,$C30,'3. 5기 수입지출장부'!$A$5:$A$2003,"&gt;="&amp;DATE(2026,J$5,1),'3. 5기 수입지출장부'!$A$5:$A$2003,"&lt;"&amp;DATE(2026,J$5+1,1),'3. 5기 수입지출장부'!$E$5:$E$2003,"&gt;0")&gt;0,"■","")</f>
        <v/>
      </c>
      <c r="K31" s="14" t="str">
        <f>IF(COUNTIFS('3. 5기 수입지출장부'!$C$5:$C$2003,$C30,'3. 5기 수입지출장부'!$A$5:$A$2003,"&gt;="&amp;DATE(2026,K$5,1),'3. 5기 수입지출장부'!$A$5:$A$2003,"&lt;"&amp;DATE(2026,K$5+1,1),'3. 5기 수입지출장부'!$E$5:$E$2003,"&gt;0")&gt;0,"■","")</f>
        <v/>
      </c>
      <c r="L31" s="14" t="str">
        <f>IF(COUNTIFS('3. 5기 수입지출장부'!$C$5:$C$2003,$C30,'3. 5기 수입지출장부'!$A$5:$A$2003,"&gt;="&amp;DATE(2026,L$5,1),'3. 5기 수입지출장부'!$A$5:$A$2003,"&lt;"&amp;DATE(2026,L$5+1,1),'3. 5기 수입지출장부'!$E$5:$E$2003,"&gt;0")&gt;0,"■","")</f>
        <v/>
      </c>
      <c r="M31" s="14" t="str">
        <f>IF(COUNTIFS('3. 5기 수입지출장부'!$C$5:$C$2003,$C30,'3. 5기 수입지출장부'!$A$5:$A$2003,"&gt;="&amp;DATE(2026,M$5,1),'3. 5기 수입지출장부'!$A$5:$A$2003,"&lt;"&amp;DATE(2026,M$5+1,1),'3. 5기 수입지출장부'!$E$5:$E$2003,"&gt;0")&gt;0,"■","")</f>
        <v/>
      </c>
      <c r="N31" s="14" t="str">
        <f>IF(COUNTIFS('3. 5기 수입지출장부'!$C$5:$C$2003,$C30,'3. 5기 수입지출장부'!$A$5:$A$2003,"&gt;="&amp;DATE(2026,N$5,1),'3. 5기 수입지출장부'!$A$5:$A$2003,"&lt;"&amp;DATE(2026,N$5+1,1),'3. 5기 수입지출장부'!$E$5:$E$2003,"&gt;0")&gt;0,"■","")</f>
        <v/>
      </c>
      <c r="O31" s="21" t="str">
        <f>IF(COUNTIFS('3. 5기 수입지출장부'!$C$5:$C$2003,$C30,'3. 5기 수입지출장부'!$A$5:$A$2003,"&gt;="&amp;DATE(2026,O$5,1),'3. 5기 수입지출장부'!$A$5:$A$2003,"&lt;"&amp;DATE(2026,O$5+1,1),'3. 5기 수입지출장부'!$E$5:$E$2003,"&gt;0")&gt;0,"■","")</f>
        <v/>
      </c>
      <c r="P31" s="14" t="str">
        <f>IF(COUNTIFS('3. 5기 수입지출장부'!$C$5:$C$2003,$C30,'3. 5기 수입지출장부'!$A$5:$A$2003,"&gt;="&amp;DATE(2026,P$5,1),'3. 5기 수입지출장부'!$A$5:$A$2003,"&lt;"&amp;DATE(2026,P$5+1,1),'3. 5기 수입지출장부'!$E$5:$E$2003,"&gt;0")&gt;0,"■","")</f>
        <v/>
      </c>
      <c r="Q31" s="175">
        <f>'3. 5기 수입지출장부'!E205</f>
        <v>0</v>
      </c>
      <c r="R31" s="176"/>
      <c r="S31" s="184"/>
      <c r="T31" s="184"/>
      <c r="U31" s="3"/>
      <c r="V31" s="3"/>
      <c r="W31" s="3"/>
      <c r="X31" s="199"/>
      <c r="Y31" s="201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4"/>
      <c r="AN31" s="180"/>
      <c r="AO31" s="215"/>
      <c r="AP31" s="201"/>
    </row>
    <row r="32" spans="1:42" ht="24.75" customHeight="1">
      <c r="A32" s="3"/>
      <c r="B32" s="181">
        <v>14</v>
      </c>
      <c r="C32" s="177" t="s">
        <v>256</v>
      </c>
      <c r="D32" s="6" t="s">
        <v>282</v>
      </c>
      <c r="E32" s="6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211">
        <f>'2. 5기_예산목간'!D43</f>
        <v>0</v>
      </c>
      <c r="R32" s="212"/>
      <c r="S32" s="183"/>
      <c r="T32" s="195" t="s">
        <v>289</v>
      </c>
      <c r="U32" s="3"/>
      <c r="V32" s="3"/>
      <c r="W32" s="3"/>
      <c r="X32" s="180"/>
      <c r="Y32" s="180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79"/>
      <c r="AN32" s="180"/>
      <c r="AO32" s="180"/>
      <c r="AP32" s="180"/>
    </row>
    <row r="33" spans="1:42" ht="24.75" customHeight="1">
      <c r="A33" s="3"/>
      <c r="B33" s="182"/>
      <c r="C33" s="178"/>
      <c r="D33" s="14" t="s">
        <v>280</v>
      </c>
      <c r="E33" s="14" t="str">
        <f>IF(COUNTIFS('3. 5기 수입지출장부'!$C$5:$C$2003,$C32,'3. 5기 수입지출장부'!$A$5:$A$2003,"&gt;="&amp;DATE(2026,E$5,1),'3. 5기 수입지출장부'!$A$5:$A$2003,"&lt;"&amp;DATE(2026,E$5+1,1),'3. 5기 수입지출장부'!$E$5:$E$2003,"&gt;0")&gt;0,"■","")</f>
        <v/>
      </c>
      <c r="F33" s="14" t="str">
        <f>IF(COUNTIFS('3. 5기 수입지출장부'!$C$5:$C$2003,$C32,'3. 5기 수입지출장부'!$A$5:$A$2003,"&gt;="&amp;DATE(2026,F$5,1),'3. 5기 수입지출장부'!$A$5:$A$2003,"&lt;"&amp;DATE(2026,F$5+1,1),'3. 5기 수입지출장부'!$E$5:$E$2003,"&gt;0")&gt;0,"■","")</f>
        <v/>
      </c>
      <c r="G33" s="14" t="str">
        <f>IF(COUNTIFS('3. 5기 수입지출장부'!$C$5:$C$2003,$C32,'3. 5기 수입지출장부'!$A$5:$A$2003,"&gt;="&amp;DATE(2026,G$5,1),'3. 5기 수입지출장부'!$A$5:$A$2003,"&lt;"&amp;DATE(2026,G$5+1,1),'3. 5기 수입지출장부'!$E$5:$E$2003,"&gt;0")&gt;0,"■","")</f>
        <v/>
      </c>
      <c r="H33" s="14" t="str">
        <f>IF(COUNTIFS('3. 5기 수입지출장부'!$C$5:$C$2003,$C32,'3. 5기 수입지출장부'!$A$5:$A$2003,"&gt;="&amp;DATE(2026,H$5,1),'3. 5기 수입지출장부'!$A$5:$A$2003,"&lt;"&amp;DATE(2026,H$5+1,1),'3. 5기 수입지출장부'!$E$5:$E$2003,"&gt;0")&gt;0,"■","")</f>
        <v/>
      </c>
      <c r="I33" s="14" t="str">
        <f>IF(COUNTIFS('3. 5기 수입지출장부'!$C$5:$C$2003,$C32,'3. 5기 수입지출장부'!$A$5:$A$2003,"&gt;="&amp;DATE(2026,I$5,1),'3. 5기 수입지출장부'!$A$5:$A$2003,"&lt;"&amp;DATE(2026,I$5+1,1),'3. 5기 수입지출장부'!$E$5:$E$2003,"&gt;0")&gt;0,"■","")</f>
        <v/>
      </c>
      <c r="J33" s="14" t="str">
        <f>IF(COUNTIFS('3. 5기 수입지출장부'!$C$5:$C$2003,$C32,'3. 5기 수입지출장부'!$A$5:$A$2003,"&gt;="&amp;DATE(2026,J$5,1),'3. 5기 수입지출장부'!$A$5:$A$2003,"&lt;"&amp;DATE(2026,J$5+1,1),'3. 5기 수입지출장부'!$E$5:$E$2003,"&gt;0")&gt;0,"■","")</f>
        <v/>
      </c>
      <c r="K33" s="14" t="str">
        <f>IF(COUNTIFS('3. 5기 수입지출장부'!$C$5:$C$2003,$C32,'3. 5기 수입지출장부'!$A$5:$A$2003,"&gt;="&amp;DATE(2026,K$5,1),'3. 5기 수입지출장부'!$A$5:$A$2003,"&lt;"&amp;DATE(2026,K$5+1,1),'3. 5기 수입지출장부'!$E$5:$E$2003,"&gt;0")&gt;0,"■","")</f>
        <v/>
      </c>
      <c r="L33" s="14" t="str">
        <f>IF(COUNTIFS('3. 5기 수입지출장부'!$C$5:$C$2003,$C32,'3. 5기 수입지출장부'!$A$5:$A$2003,"&gt;="&amp;DATE(2026,L$5,1),'3. 5기 수입지출장부'!$A$5:$A$2003,"&lt;"&amp;DATE(2026,L$5+1,1),'3. 5기 수입지출장부'!$E$5:$E$2003,"&gt;0")&gt;0,"■","")</f>
        <v/>
      </c>
      <c r="M33" s="14" t="str">
        <f>IF(COUNTIFS('3. 5기 수입지출장부'!$C$5:$C$2003,$C32,'3. 5기 수입지출장부'!$A$5:$A$2003,"&gt;="&amp;DATE(2026,M$5,1),'3. 5기 수입지출장부'!$A$5:$A$2003,"&lt;"&amp;DATE(2026,M$5+1,1),'3. 5기 수입지출장부'!$E$5:$E$2003,"&gt;0")&gt;0,"■","")</f>
        <v/>
      </c>
      <c r="N33" s="11" t="str">
        <f>IF(COUNTIFS('3. 5기 수입지출장부'!$C$5:$C$2003,$C32,'3. 5기 수입지출장부'!$A$5:$A$2003,"&gt;="&amp;DATE(2026,N$5,1),'3. 5기 수입지출장부'!$A$5:$A$2003,"&lt;"&amp;DATE(2026,N$5+1,1),'3. 5기 수입지출장부'!$E$5:$E$2003,"&gt;0")&gt;0,"■","")</f>
        <v/>
      </c>
      <c r="O33" s="21" t="str">
        <f>IF(COUNTIFS('3. 5기 수입지출장부'!$C$5:$C$2003,$C32,'3. 5기 수입지출장부'!$A$5:$A$2003,"&gt;="&amp;DATE(2026,O$5,1),'3. 5기 수입지출장부'!$A$5:$A$2003,"&lt;"&amp;DATE(2026,O$5+1,1),'3. 5기 수입지출장부'!$E$5:$E$2003,"&gt;0")&gt;0,"■","")</f>
        <v/>
      </c>
      <c r="P33" s="14" t="str">
        <f>IF(COUNTIFS('3. 5기 수입지출장부'!$C$5:$C$2003,$C32,'3. 5기 수입지출장부'!$A$5:$A$2003,"&gt;="&amp;DATE(2026,P$5,1),'3. 5기 수입지출장부'!$A$5:$A$2003,"&lt;"&amp;DATE(2026,P$5+1,1),'3. 5기 수입지출장부'!$E$5:$E$2003,"&gt;0")&gt;0,"■","")</f>
        <v/>
      </c>
      <c r="Q33" s="175">
        <f>'3. 5기 수입지출장부'!E206</f>
        <v>0</v>
      </c>
      <c r="R33" s="176"/>
      <c r="S33" s="184"/>
      <c r="T33" s="184"/>
      <c r="U33" s="3"/>
      <c r="V33" s="3"/>
      <c r="W33" s="3"/>
      <c r="X33" s="199"/>
      <c r="Y33" s="201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4"/>
      <c r="AN33" s="180"/>
      <c r="AO33" s="215"/>
      <c r="AP33" s="201"/>
    </row>
    <row r="34" spans="1:42" ht="24.75" customHeight="1">
      <c r="A34" s="3"/>
      <c r="B34" s="181">
        <f>B32+1</f>
        <v>15</v>
      </c>
      <c r="C34" s="177" t="s">
        <v>249</v>
      </c>
      <c r="D34" s="6" t="s">
        <v>282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211">
        <f>'2. 5기_예산목간'!D45</f>
        <v>600000</v>
      </c>
      <c r="R34" s="212"/>
      <c r="S34" s="202">
        <f>Q35/Q34</f>
        <v>0</v>
      </c>
      <c r="T34" s="205" t="s">
        <v>290</v>
      </c>
      <c r="U34" s="3"/>
      <c r="V34" s="3"/>
      <c r="W34" s="3"/>
      <c r="X34" s="180"/>
      <c r="Y34" s="180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79"/>
      <c r="AN34" s="180"/>
      <c r="AO34" s="180"/>
      <c r="AP34" s="180"/>
    </row>
    <row r="35" spans="1:42" ht="24.75" customHeight="1">
      <c r="A35" s="3"/>
      <c r="B35" s="182"/>
      <c r="C35" s="178"/>
      <c r="D35" s="14" t="s">
        <v>280</v>
      </c>
      <c r="E35" s="14" t="str">
        <f>IF(COUNTIFS('3. 5기 수입지출장부'!$C$5:$C$2003,$C34,'3. 5기 수입지출장부'!$A$5:$A$2003,"&gt;="&amp;DATE(2026,E$5,1),'3. 5기 수입지출장부'!$A$5:$A$2003,"&lt;"&amp;DATE(2026,E$5+1,1),'3. 5기 수입지출장부'!$E$5:$E$2003,"&gt;0")&gt;0,"■","")</f>
        <v/>
      </c>
      <c r="F35" s="14" t="str">
        <f>IF(COUNTIFS('3. 5기 수입지출장부'!$C$5:$C$2003,$C34,'3. 5기 수입지출장부'!$A$5:$A$2003,"&gt;="&amp;DATE(2026,F$5,1),'3. 5기 수입지출장부'!$A$5:$A$2003,"&lt;"&amp;DATE(2026,F$5+1,1),'3. 5기 수입지출장부'!$E$5:$E$2003,"&gt;0")&gt;0,"■","")</f>
        <v/>
      </c>
      <c r="G35" s="14" t="str">
        <f>IF(COUNTIFS('3. 5기 수입지출장부'!$C$5:$C$2003,$C34,'3. 5기 수입지출장부'!$A$5:$A$2003,"&gt;="&amp;DATE(2026,G$5,1),'3. 5기 수입지출장부'!$A$5:$A$2003,"&lt;"&amp;DATE(2026,G$5+1,1),'3. 5기 수입지출장부'!$E$5:$E$2003,"&gt;0")&gt;0,"■","")</f>
        <v/>
      </c>
      <c r="H35" s="14" t="str">
        <f>IF(COUNTIFS('3. 5기 수입지출장부'!$C$5:$C$2003,$C34,'3. 5기 수입지출장부'!$A$5:$A$2003,"&gt;="&amp;DATE(2026,H$5,1),'3. 5기 수입지출장부'!$A$5:$A$2003,"&lt;"&amp;DATE(2026,H$5+1,1),'3. 5기 수입지출장부'!$E$5:$E$2003,"&gt;0")&gt;0,"■","")</f>
        <v/>
      </c>
      <c r="I35" s="14" t="str">
        <f>IF(COUNTIFS('3. 5기 수입지출장부'!$C$5:$C$2003,$C34,'3. 5기 수입지출장부'!$A$5:$A$2003,"&gt;="&amp;DATE(2026,I$5,1),'3. 5기 수입지출장부'!$A$5:$A$2003,"&lt;"&amp;DATE(2026,I$5+1,1),'3. 5기 수입지출장부'!$E$5:$E$2003,"&gt;0")&gt;0,"■","")</f>
        <v/>
      </c>
      <c r="J35" s="14" t="str">
        <f>IF(COUNTIFS('3. 5기 수입지출장부'!$C$5:$C$2003,$C34,'3. 5기 수입지출장부'!$A$5:$A$2003,"&gt;="&amp;DATE(2026,J$5,1),'3. 5기 수입지출장부'!$A$5:$A$2003,"&lt;"&amp;DATE(2026,J$5+1,1),'3. 5기 수입지출장부'!$E$5:$E$2003,"&gt;0")&gt;0,"■","")</f>
        <v/>
      </c>
      <c r="K35" s="14" t="str">
        <f>IF(COUNTIFS('3. 5기 수입지출장부'!$C$5:$C$2003,$C34,'3. 5기 수입지출장부'!$A$5:$A$2003,"&gt;="&amp;DATE(2026,K$5,1),'3. 5기 수입지출장부'!$A$5:$A$2003,"&lt;"&amp;DATE(2026,K$5+1,1),'3. 5기 수입지출장부'!$E$5:$E$2003,"&gt;0")&gt;0,"■","")</f>
        <v/>
      </c>
      <c r="L35" s="14" t="str">
        <f>IF(COUNTIFS('3. 5기 수입지출장부'!$C$5:$C$2003,$C34,'3. 5기 수입지출장부'!$A$5:$A$2003,"&gt;="&amp;DATE(2026,L$5,1),'3. 5기 수입지출장부'!$A$5:$A$2003,"&lt;"&amp;DATE(2026,L$5+1,1),'3. 5기 수입지출장부'!$E$5:$E$2003,"&gt;0")&gt;0,"■","")</f>
        <v/>
      </c>
      <c r="M35" s="9" t="str">
        <f>IF(COUNTIFS('3. 5기 수입지출장부'!$C$5:$C$2003,$C34,'3. 5기 수입지출장부'!$A$5:$A$2003,"&gt;="&amp;DATE(2026,M$5,1),'3. 5기 수입지출장부'!$A$5:$A$2003,"&lt;"&amp;DATE(2026,M$5+1,1),'3. 5기 수입지출장부'!$E$5:$E$2003,"&gt;0")&gt;0,"■","")</f>
        <v/>
      </c>
      <c r="N35" s="9" t="str">
        <f>IF(COUNTIFS('3. 5기 수입지출장부'!$C$5:$C$2003,$C34,'3. 5기 수입지출장부'!$A$5:$A$2003,"&gt;="&amp;DATE(2026,N$5,1),'3. 5기 수입지출장부'!$A$5:$A$2003,"&lt;"&amp;DATE(2026,N$5+1,1),'3. 5기 수입지출장부'!$E$5:$E$2003,"&gt;0")&gt;0,"■","")</f>
        <v/>
      </c>
      <c r="O35" s="14" t="str">
        <f>IF(COUNTIFS('3. 5기 수입지출장부'!$C$5:$C$2003,$C34,'3. 5기 수입지출장부'!$A$5:$A$2003,"&gt;="&amp;DATE(2026,O$5,1),'3. 5기 수입지출장부'!$A$5:$A$2003,"&lt;"&amp;DATE(2026,O$5+1,1),'3. 5기 수입지출장부'!$E$5:$E$2003,"&gt;0")&gt;0,"■","")</f>
        <v/>
      </c>
      <c r="P35" s="14" t="str">
        <f>IF(COUNTIFS('3. 5기 수입지출장부'!$C$5:$C$2003,$C34,'3. 5기 수입지출장부'!$A$5:$A$2003,"&gt;="&amp;DATE(2026,P$5,1),'3. 5기 수입지출장부'!$A$5:$A$2003,"&lt;"&amp;DATE(2026,P$5+1,1),'3. 5기 수입지출장부'!$E$5:$E$2003,"&gt;0")&gt;0,"■","")</f>
        <v/>
      </c>
      <c r="Q35" s="175">
        <f>'3. 5기 수입지출장부'!E207</f>
        <v>0</v>
      </c>
      <c r="R35" s="176"/>
      <c r="S35" s="184"/>
      <c r="T35" s="206"/>
      <c r="U35" s="3"/>
      <c r="V35" s="3"/>
      <c r="W35" s="3"/>
      <c r="X35" s="199"/>
      <c r="Y35" s="201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4"/>
      <c r="AN35" s="180"/>
      <c r="AO35" s="215"/>
      <c r="AP35" s="201"/>
    </row>
    <row r="36" spans="1:42" ht="24.75" customHeight="1">
      <c r="A36" s="3"/>
      <c r="B36" s="181">
        <v>16</v>
      </c>
      <c r="C36" s="177" t="s">
        <v>248</v>
      </c>
      <c r="D36" s="6" t="s">
        <v>282</v>
      </c>
      <c r="E36" s="6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211">
        <f>'2. 5기_예산목간'!D47</f>
        <v>300000</v>
      </c>
      <c r="R36" s="212"/>
      <c r="S36" s="242">
        <f>Q37/Q36</f>
        <v>0</v>
      </c>
      <c r="T36" s="205" t="s">
        <v>291</v>
      </c>
      <c r="U36" s="3"/>
      <c r="V36" s="3"/>
      <c r="W36" s="3"/>
      <c r="X36" s="180"/>
      <c r="Y36" s="180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79"/>
      <c r="AN36" s="180"/>
      <c r="AO36" s="180"/>
      <c r="AP36" s="180"/>
    </row>
    <row r="37" spans="1:42" ht="24.75" customHeight="1">
      <c r="A37" s="3"/>
      <c r="B37" s="182"/>
      <c r="C37" s="178"/>
      <c r="D37" s="14" t="s">
        <v>280</v>
      </c>
      <c r="E37" s="14" t="str">
        <f>IF(COUNTIFS('3. 5기 수입지출장부'!$C$5:$C$2003,$C36,'3. 5기 수입지출장부'!$A$5:$A$2003,"&gt;="&amp;DATE(2026,E$5,1),'3. 5기 수입지출장부'!$A$5:$A$2003,"&lt;"&amp;DATE(2026,E$5+1,1),'3. 5기 수입지출장부'!$E$5:$E$2003,"&gt;0")&gt;0,"■","")</f>
        <v/>
      </c>
      <c r="F37" s="14" t="str">
        <f>IF(COUNTIFS('3. 5기 수입지출장부'!$C$5:$C$2003,$C36,'3. 5기 수입지출장부'!$A$5:$A$2003,"&gt;="&amp;DATE(2026,F$5,1),'3. 5기 수입지출장부'!$A$5:$A$2003,"&lt;"&amp;DATE(2026,F$5+1,1),'3. 5기 수입지출장부'!$E$5:$E$2003,"&gt;0")&gt;0,"■","")</f>
        <v/>
      </c>
      <c r="G37" s="14" t="str">
        <f>IF(COUNTIFS('3. 5기 수입지출장부'!$C$5:$C$2003,$C36,'3. 5기 수입지출장부'!$A$5:$A$2003,"&gt;="&amp;DATE(2026,G$5,1),'3. 5기 수입지출장부'!$A$5:$A$2003,"&lt;"&amp;DATE(2026,G$5+1,1),'3. 5기 수입지출장부'!$E$5:$E$2003,"&gt;0")&gt;0,"■","")</f>
        <v/>
      </c>
      <c r="H37" s="5" t="str">
        <f>IF(COUNTIFS('3. 5기 수입지출장부'!$C$5:$C$2003,$C36,'3. 5기 수입지출장부'!$A$5:$A$2003,"&gt;="&amp;DATE(2026,H$5,1),'3. 5기 수입지출장부'!$A$5:$A$2003,"&lt;"&amp;DATE(2026,H$5+1,1),'3. 5기 수입지출장부'!$E$5:$E$2003,"&gt;0")&gt;0,"■","")</f>
        <v/>
      </c>
      <c r="I37" s="5" t="str">
        <f>IF(COUNTIFS('3. 5기 수입지출장부'!$C$5:$C$2003,$C36,'3. 5기 수입지출장부'!$A$5:$A$2003,"&gt;="&amp;DATE(2026,I$5,1),'3. 5기 수입지출장부'!$A$5:$A$2003,"&lt;"&amp;DATE(2026,I$5+1,1),'3. 5기 수입지출장부'!$E$5:$E$2003,"&gt;0")&gt;0,"■","")</f>
        <v/>
      </c>
      <c r="J37" s="5" t="str">
        <f>IF(COUNTIFS('3. 5기 수입지출장부'!$C$5:$C$2003,$C36,'3. 5기 수입지출장부'!$A$5:$A$2003,"&gt;="&amp;DATE(2026,J$5,1),'3. 5기 수입지출장부'!$A$5:$A$2003,"&lt;"&amp;DATE(2026,J$5+1,1),'3. 5기 수입지출장부'!$E$5:$E$2003,"&gt;0")&gt;0,"■","")</f>
        <v/>
      </c>
      <c r="K37" s="5" t="str">
        <f>IF(COUNTIFS('3. 5기 수입지출장부'!$C$5:$C$2003,$C36,'3. 5기 수입지출장부'!$A$5:$A$2003,"&gt;="&amp;DATE(2026,K$5,1),'3. 5기 수입지출장부'!$A$5:$A$2003,"&lt;"&amp;DATE(2026,K$5+1,1),'3. 5기 수입지출장부'!$E$5:$E$2003,"&gt;0")&gt;0,"■","")</f>
        <v/>
      </c>
      <c r="L37" s="5" t="str">
        <f>IF(COUNTIFS('3. 5기 수입지출장부'!$C$5:$C$2003,$C36,'3. 5기 수입지출장부'!$A$5:$A$2003,"&gt;="&amp;DATE(2026,L$5,1),'3. 5기 수입지출장부'!$A$5:$A$2003,"&lt;"&amp;DATE(2026,L$5+1,1),'3. 5기 수입지출장부'!$E$5:$E$2003,"&gt;0")&gt;0,"■","")</f>
        <v/>
      </c>
      <c r="M37" s="5" t="str">
        <f>IF(COUNTIFS('3. 5기 수입지출장부'!$C$5:$C$2003,$C36,'3. 5기 수입지출장부'!$A$5:$A$2003,"&gt;="&amp;DATE(2026,M$5,1),'3. 5기 수입지출장부'!$A$5:$A$2003,"&lt;"&amp;DATE(2026,M$5+1,1),'3. 5기 수입지출장부'!$E$5:$E$2003,"&gt;0")&gt;0,"■","")</f>
        <v/>
      </c>
      <c r="N37" s="5" t="str">
        <f>IF(COUNTIFS('3. 5기 수입지출장부'!$C$5:$C$2003,$C36,'3. 5기 수입지출장부'!$A$5:$A$2003,"&gt;="&amp;DATE(2026,N$5,1),'3. 5기 수입지출장부'!$A$5:$A$2003,"&lt;"&amp;DATE(2026,N$5+1,1),'3. 5기 수입지출장부'!$E$5:$E$2003,"&gt;0")&gt;0,"■","")</f>
        <v/>
      </c>
      <c r="O37" s="5" t="str">
        <f>IF(COUNTIFS('3. 5기 수입지출장부'!$C$5:$C$2003,$C36,'3. 5기 수입지출장부'!$A$5:$A$2003,"&gt;="&amp;DATE(2026,O$5,1),'3. 5기 수입지출장부'!$A$5:$A$2003,"&lt;"&amp;DATE(2026,O$5+1,1),'3. 5기 수입지출장부'!$E$5:$E$2003,"&gt;0")&gt;0,"■","")</f>
        <v/>
      </c>
      <c r="P37" s="14" t="str">
        <f>IF(COUNTIFS('3. 5기 수입지출장부'!$C$5:$C$2003,$C36,'3. 5기 수입지출장부'!$A$5:$A$2003,"&gt;="&amp;DATE(2026,P$5,1),'3. 5기 수입지출장부'!$A$5:$A$2003,"&lt;"&amp;DATE(2026,P$5+1,1),'3. 5기 수입지출장부'!$E$5:$E$2003,"&gt;0")&gt;0,"■","")</f>
        <v/>
      </c>
      <c r="Q37" s="207">
        <f>'3. 5기 수입지출장부'!E208</f>
        <v>0</v>
      </c>
      <c r="R37" s="208"/>
      <c r="S37" s="243"/>
      <c r="T37" s="206"/>
      <c r="U37" s="3"/>
      <c r="V37" s="3"/>
      <c r="W37" s="3"/>
      <c r="X37" s="199"/>
      <c r="Y37" s="201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4"/>
      <c r="AN37" s="180"/>
      <c r="AO37" s="215"/>
      <c r="AP37" s="201"/>
    </row>
    <row r="38" spans="1:42" ht="24.75" customHeight="1">
      <c r="A38" s="3"/>
      <c r="B38" s="185">
        <v>17</v>
      </c>
      <c r="C38" s="177" t="s">
        <v>252</v>
      </c>
      <c r="D38" s="6" t="s">
        <v>282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211">
        <f>'2. 5기_예산목간'!D49</f>
        <v>500000</v>
      </c>
      <c r="R38" s="212"/>
      <c r="S38" s="202">
        <v>0</v>
      </c>
      <c r="T38" s="205" t="s">
        <v>292</v>
      </c>
      <c r="U38" s="3"/>
      <c r="V38" s="3"/>
      <c r="W38" s="3"/>
      <c r="X38" s="180"/>
      <c r="Y38" s="180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23"/>
      <c r="AL38" s="19"/>
      <c r="AM38" s="179"/>
      <c r="AN38" s="180"/>
      <c r="AO38" s="180"/>
      <c r="AP38" s="180"/>
    </row>
    <row r="39" spans="1:42" ht="24.75" customHeight="1">
      <c r="A39" s="3"/>
      <c r="B39" s="182"/>
      <c r="C39" s="178"/>
      <c r="D39" s="14" t="s">
        <v>280</v>
      </c>
      <c r="E39" s="14" t="str">
        <f>IF(COUNTIFS('3. 5기 수입지출장부'!$C$5:$C$2003,$C38,'3. 5기 수입지출장부'!$A$5:$A$2003,"&gt;="&amp;DATE(2026,E$5,1),'3. 5기 수입지출장부'!$A$5:$A$2003,"&lt;"&amp;DATE(2026,E$5+1,1),'3. 5기 수입지출장부'!$E$5:$E$2003,"&gt;0")&gt;0,"■","")</f>
        <v/>
      </c>
      <c r="F39" s="14" t="str">
        <f>IF(COUNTIFS('3. 5기 수입지출장부'!$C$5:$C$2003,$C38,'3. 5기 수입지출장부'!$A$5:$A$2003,"&gt;="&amp;DATE(2026,F$5,1),'3. 5기 수입지출장부'!$A$5:$A$2003,"&lt;"&amp;DATE(2026,F$5+1,1),'3. 5기 수입지출장부'!$E$5:$E$2003,"&gt;0")&gt;0,"■","")</f>
        <v/>
      </c>
      <c r="G39" s="14" t="str">
        <f>IF(COUNTIFS('3. 5기 수입지출장부'!$C$5:$C$2003,$C38,'3. 5기 수입지출장부'!$A$5:$A$2003,"&gt;="&amp;DATE(2026,G$5,1),'3. 5기 수입지출장부'!$A$5:$A$2003,"&lt;"&amp;DATE(2026,G$5+1,1),'3. 5기 수입지출장부'!$E$5:$E$2003,"&gt;0")&gt;0,"■","")</f>
        <v/>
      </c>
      <c r="H39" s="14" t="str">
        <f>IF(COUNTIFS('3. 5기 수입지출장부'!$C$5:$C$2003,$C38,'3. 5기 수입지출장부'!$A$5:$A$2003,"&gt;="&amp;DATE(2026,H$5,1),'3. 5기 수입지출장부'!$A$5:$A$2003,"&lt;"&amp;DATE(2026,H$5+1,1),'3. 5기 수입지출장부'!$E$5:$E$2003,"&gt;0")&gt;0,"■","")</f>
        <v/>
      </c>
      <c r="I39" s="14" t="str">
        <f>IF(COUNTIFS('3. 5기 수입지출장부'!$C$5:$C$2003,$C38,'3. 5기 수입지출장부'!$A$5:$A$2003,"&gt;="&amp;DATE(2026,I$5,1),'3. 5기 수입지출장부'!$A$5:$A$2003,"&lt;"&amp;DATE(2026,I$5+1,1),'3. 5기 수입지출장부'!$E$5:$E$2003,"&gt;0")&gt;0,"■","")</f>
        <v/>
      </c>
      <c r="J39" s="14" t="str">
        <f>IF(COUNTIFS('3. 5기 수입지출장부'!$C$5:$C$2003,$C38,'3. 5기 수입지출장부'!$A$5:$A$2003,"&gt;="&amp;DATE(2026,J$5,1),'3. 5기 수입지출장부'!$A$5:$A$2003,"&lt;"&amp;DATE(2026,J$5+1,1),'3. 5기 수입지출장부'!$E$5:$E$2003,"&gt;0")&gt;0,"■","")</f>
        <v/>
      </c>
      <c r="K39" s="14" t="str">
        <f>IF(COUNTIFS('3. 5기 수입지출장부'!$C$5:$C$2003,$C38,'3. 5기 수입지출장부'!$A$5:$A$2003,"&gt;="&amp;DATE(2026,K$5,1),'3. 5기 수입지출장부'!$A$5:$A$2003,"&lt;"&amp;DATE(2026,K$5+1,1),'3. 5기 수입지출장부'!$E$5:$E$2003,"&gt;0")&gt;0,"■","")</f>
        <v/>
      </c>
      <c r="L39" s="14" t="str">
        <f>IF(COUNTIFS('3. 5기 수입지출장부'!$C$5:$C$2003,$C38,'3. 5기 수입지출장부'!$A$5:$A$2003,"&gt;="&amp;DATE(2026,L$5,1),'3. 5기 수입지출장부'!$A$5:$A$2003,"&lt;"&amp;DATE(2026,L$5+1,1),'3. 5기 수입지출장부'!$E$5:$E$2003,"&gt;0")&gt;0,"■","")</f>
        <v/>
      </c>
      <c r="M39" s="14" t="str">
        <f>IF(COUNTIFS('3. 5기 수입지출장부'!$C$5:$C$2003,$C38,'3. 5기 수입지출장부'!$A$5:$A$2003,"&gt;="&amp;DATE(2026,M$5,1),'3. 5기 수입지출장부'!$A$5:$A$2003,"&lt;"&amp;DATE(2026,M$5+1,1),'3. 5기 수입지출장부'!$E$5:$E$2003,"&gt;0")&gt;0,"■","")</f>
        <v/>
      </c>
      <c r="N39" s="14" t="str">
        <f>IF(COUNTIFS('3. 5기 수입지출장부'!$C$5:$C$2003,$C38,'3. 5기 수입지출장부'!$A$5:$A$2003,"&gt;="&amp;DATE(2026,N$5,1),'3. 5기 수입지출장부'!$A$5:$A$2003,"&lt;"&amp;DATE(2026,N$5+1,1),'3. 5기 수입지출장부'!$E$5:$E$2003,"&gt;0")&gt;0,"■","")</f>
        <v/>
      </c>
      <c r="O39" s="14" t="str">
        <f>IF(COUNTIFS('3. 5기 수입지출장부'!$C$5:$C$2003,$C38,'3. 5기 수입지출장부'!$A$5:$A$2003,"&gt;="&amp;DATE(2026,O$5,1),'3. 5기 수입지출장부'!$A$5:$A$2003,"&lt;"&amp;DATE(2026,O$5+1,1),'3. 5기 수입지출장부'!$E$5:$E$2003,"&gt;0")&gt;0,"■","")</f>
        <v/>
      </c>
      <c r="P39" s="14" t="str">
        <f>IF(COUNTIFS('3. 5기 수입지출장부'!$C$5:$C$2003,$C38,'3. 5기 수입지출장부'!$A$5:$A$2003,"&gt;="&amp;DATE(2026,P$5,1),'3. 5기 수입지출장부'!$A$5:$A$2003,"&lt;"&amp;DATE(2026,P$5+1,1),'3. 5기 수입지출장부'!$E$5:$E$2003,"&gt;0")&gt;0,"■","")</f>
        <v/>
      </c>
      <c r="Q39" s="207">
        <f>'3. 5기 수입지출장부'!E209</f>
        <v>0</v>
      </c>
      <c r="R39" s="208"/>
      <c r="S39" s="184"/>
      <c r="T39" s="206"/>
      <c r="U39" s="3"/>
      <c r="V39" s="3"/>
      <c r="W39" s="3"/>
      <c r="X39" s="199"/>
      <c r="Y39" s="201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4"/>
      <c r="AN39" s="180"/>
      <c r="AO39" s="215"/>
      <c r="AP39" s="201"/>
    </row>
    <row r="40" spans="1:42" ht="24.75" customHeight="1">
      <c r="A40" s="3"/>
      <c r="B40" s="181">
        <v>18</v>
      </c>
      <c r="C40" s="177" t="s">
        <v>242</v>
      </c>
      <c r="D40" s="6" t="s">
        <v>282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211">
        <f>'2. 5기_예산목간'!D50</f>
        <v>400000</v>
      </c>
      <c r="R40" s="212"/>
      <c r="S40" s="202">
        <v>0</v>
      </c>
      <c r="T40" s="205" t="s">
        <v>292</v>
      </c>
      <c r="U40" s="3"/>
      <c r="V40" s="3"/>
      <c r="W40" s="3"/>
      <c r="X40" s="180"/>
      <c r="Y40" s="180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23"/>
      <c r="AL40" s="19"/>
      <c r="AM40" s="179"/>
      <c r="AN40" s="180"/>
      <c r="AO40" s="180"/>
      <c r="AP40" s="180"/>
    </row>
    <row r="41" spans="1:42" ht="24.75" customHeight="1">
      <c r="A41" s="3"/>
      <c r="B41" s="182"/>
      <c r="C41" s="178"/>
      <c r="D41" s="14" t="s">
        <v>280</v>
      </c>
      <c r="E41" s="14" t="str">
        <f>IF(COUNTIFS('3. 5기 수입지출장부'!$C$5:$C$2003,SUBSTITUTE($C40,", ",","),'3. 5기 수입지출장부'!$A$5:$A$2003,"&gt;="&amp;DATE(2026,E$5,1),'3. 5기 수입지출장부'!$A$5:$A$2003,"&lt;"&amp;DATE(2026,E$5+1,1),'3. 5기 수입지출장부'!$E$5:$E$2003,"&gt;0")&gt;0,"■","")</f>
        <v/>
      </c>
      <c r="F41" s="14" t="str">
        <f>IF(COUNTIFS('3. 5기 수입지출장부'!$C$5:$C$2003,SUBSTITUTE($C40,", ",","),'3. 5기 수입지출장부'!$A$5:$A$2003,"&gt;="&amp;DATE(2026,F$5,1),'3. 5기 수입지출장부'!$A$5:$A$2003,"&lt;"&amp;DATE(2026,F$5+1,1),'3. 5기 수입지출장부'!$E$5:$E$2003,"&gt;0")&gt;0,"■","")</f>
        <v/>
      </c>
      <c r="G41" s="14" t="str">
        <f>IF(COUNTIFS('3. 5기 수입지출장부'!$C$5:$C$2003,SUBSTITUTE($C40,", ",","),'3. 5기 수입지출장부'!$A$5:$A$2003,"&gt;="&amp;DATE(2026,G$5,1),'3. 5기 수입지출장부'!$A$5:$A$2003,"&lt;"&amp;DATE(2026,G$5+1,1),'3. 5기 수입지출장부'!$E$5:$E$2003,"&gt;0")&gt;0,"■","")</f>
        <v/>
      </c>
      <c r="H41" s="14" t="str">
        <f>IF(COUNTIFS('3. 5기 수입지출장부'!$C$5:$C$2003,SUBSTITUTE($C40,", ",","),'3. 5기 수입지출장부'!$A$5:$A$2003,"&gt;="&amp;DATE(2026,H$5,1),'3. 5기 수입지출장부'!$A$5:$A$2003,"&lt;"&amp;DATE(2026,H$5+1,1),'3. 5기 수입지출장부'!$E$5:$E$2003,"&gt;0")&gt;0,"■","")</f>
        <v/>
      </c>
      <c r="I41" s="14" t="str">
        <f>IF(COUNTIFS('3. 5기 수입지출장부'!$C$5:$C$2003,SUBSTITUTE($C40,", ",","),'3. 5기 수입지출장부'!$A$5:$A$2003,"&gt;="&amp;DATE(2026,I$5,1),'3. 5기 수입지출장부'!$A$5:$A$2003,"&lt;"&amp;DATE(2026,I$5+1,1),'3. 5기 수입지출장부'!$E$5:$E$2003,"&gt;0")&gt;0,"■","")</f>
        <v/>
      </c>
      <c r="J41" s="14" t="str">
        <f>IF(COUNTIFS('3. 5기 수입지출장부'!$C$5:$C$2003,SUBSTITUTE($C40,", ",","),'3. 5기 수입지출장부'!$A$5:$A$2003,"&gt;="&amp;DATE(2026,J$5,1),'3. 5기 수입지출장부'!$A$5:$A$2003,"&lt;"&amp;DATE(2026,J$5+1,1),'3. 5기 수입지출장부'!$E$5:$E$2003,"&gt;0")&gt;0,"■","")</f>
        <v/>
      </c>
      <c r="K41" s="14" t="str">
        <f>IF(COUNTIFS('3. 5기 수입지출장부'!$C$5:$C$2003,SUBSTITUTE($C40,", ",","),'3. 5기 수입지출장부'!$A$5:$A$2003,"&gt;="&amp;DATE(2026,K$5,1),'3. 5기 수입지출장부'!$A$5:$A$2003,"&lt;"&amp;DATE(2026,K$5+1,1),'3. 5기 수입지출장부'!$E$5:$E$2003,"&gt;0")&gt;0,"■","")</f>
        <v/>
      </c>
      <c r="L41" s="14" t="str">
        <f>IF(COUNTIFS('3. 5기 수입지출장부'!$C$5:$C$2003,SUBSTITUTE($C40,", ",","),'3. 5기 수입지출장부'!$A$5:$A$2003,"&gt;="&amp;DATE(2026,L$5,1),'3. 5기 수입지출장부'!$A$5:$A$2003,"&lt;"&amp;DATE(2026,L$5+1,1),'3. 5기 수입지출장부'!$E$5:$E$2003,"&gt;0")&gt;0,"■","")</f>
        <v/>
      </c>
      <c r="M41" s="14" t="str">
        <f>IF(COUNTIFS('3. 5기 수입지출장부'!$C$5:$C$2003,SUBSTITUTE($C40,", ",","),'3. 5기 수입지출장부'!$A$5:$A$2003,"&gt;="&amp;DATE(2026,M$5,1),'3. 5기 수입지출장부'!$A$5:$A$2003,"&lt;"&amp;DATE(2026,M$5+1,1),'3. 5기 수입지출장부'!$E$5:$E$2003,"&gt;0")&gt;0,"■","")</f>
        <v/>
      </c>
      <c r="N41" s="14" t="str">
        <f>IF(COUNTIFS('3. 5기 수입지출장부'!$C$5:$C$2003,SUBSTITUTE($C40,", ",","),'3. 5기 수입지출장부'!$A$5:$A$2003,"&gt;="&amp;DATE(2026,N$5,1),'3. 5기 수입지출장부'!$A$5:$A$2003,"&lt;"&amp;DATE(2026,N$5+1,1),'3. 5기 수입지출장부'!$E$5:$E$2003,"&gt;0")&gt;0,"■","")</f>
        <v/>
      </c>
      <c r="O41" s="14" t="str">
        <f>IF(COUNTIFS('3. 5기 수입지출장부'!$C$5:$C$2003,SUBSTITUTE($C40,", ",","),'3. 5기 수입지출장부'!$A$5:$A$2003,"&gt;="&amp;DATE(2026,O$5,1),'3. 5기 수입지출장부'!$A$5:$A$2003,"&lt;"&amp;DATE(2026,O$5+1,1),'3. 5기 수입지출장부'!$E$5:$E$2003,"&gt;0")&gt;0,"■","")</f>
        <v/>
      </c>
      <c r="P41" s="14" t="str">
        <f>IF(COUNTIFS('3. 5기 수입지출장부'!$C$5:$C$2003,SUBSTITUTE($C40,", ",","),'3. 5기 수입지출장부'!$A$5:$A$2003,"&gt;="&amp;DATE(2026,P$5,1),'3. 5기 수입지출장부'!$A$5:$A$2003,"&lt;"&amp;DATE(2026,P$5+1,1),'3. 5기 수입지출장부'!$E$5:$E$2003,"&gt;0")&gt;0,"■","")</f>
        <v/>
      </c>
      <c r="Q41" s="207">
        <f>'3. 5기 수입지출장부'!E210</f>
        <v>0</v>
      </c>
      <c r="R41" s="208"/>
      <c r="S41" s="184"/>
      <c r="T41" s="206"/>
      <c r="U41" s="3"/>
      <c r="V41" s="3"/>
      <c r="W41" s="3"/>
      <c r="X41" s="199"/>
      <c r="Y41" s="201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79"/>
      <c r="AN41" s="180"/>
      <c r="AO41" s="215"/>
      <c r="AP41" s="201"/>
    </row>
    <row r="42" spans="1:42" ht="24.75" customHeight="1">
      <c r="A42" s="3"/>
      <c r="B42" s="181">
        <f>B40+1</f>
        <v>19</v>
      </c>
      <c r="C42" s="177" t="s">
        <v>19</v>
      </c>
      <c r="D42" s="6" t="s">
        <v>282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211">
        <f>'2. 5기_예산목간'!D53</f>
        <v>0</v>
      </c>
      <c r="R42" s="212"/>
      <c r="S42" s="183" t="e">
        <f>Q43/Q42</f>
        <v>#DIV/0!</v>
      </c>
      <c r="T42" s="205" t="s">
        <v>283</v>
      </c>
      <c r="U42" s="3"/>
      <c r="V42" s="3"/>
      <c r="W42" s="3" t="s">
        <v>293</v>
      </c>
      <c r="X42" s="180"/>
      <c r="Y42" s="180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23"/>
      <c r="AL42" s="19"/>
      <c r="AM42" s="179"/>
      <c r="AN42" s="180"/>
      <c r="AO42" s="180"/>
      <c r="AP42" s="180"/>
    </row>
    <row r="43" spans="1:42" ht="24.75" customHeight="1">
      <c r="A43" s="3"/>
      <c r="B43" s="182"/>
      <c r="C43" s="178"/>
      <c r="D43" s="14" t="s">
        <v>280</v>
      </c>
      <c r="E43" s="9" t="str">
        <f>IF(COUNTIFS('3. 5기 수입지출장부'!$B$5:$B$2003,$C42,'3. 5기 수입지출장부'!$A$5:$A$2003,"&gt;="&amp;DATE(2026,E$5,1),'3. 5기 수입지출장부'!$A$5:$A$2003,"&lt;"&amp;DATE(2026,E$5+1,1),'3. 5기 수입지출장부'!$E$5:$E$2003,"&gt;0")&gt;0,"■","")</f>
        <v/>
      </c>
      <c r="F43" s="14" t="str">
        <f>IF(COUNTIFS('3. 5기 수입지출장부'!$B$5:$B$2003,$C42,'3. 5기 수입지출장부'!$A$5:$A$2003,"&gt;="&amp;DATE(2026,F$5,1),'3. 5기 수입지출장부'!$A$5:$A$2003,"&lt;"&amp;DATE(2026,F$5+1,1),'3. 5기 수입지출장부'!$E$5:$E$2003,"&gt;0")&gt;0,"■","")</f>
        <v>■</v>
      </c>
      <c r="G43" s="14" t="str">
        <f>IF(COUNTIFS('3. 5기 수입지출장부'!$B$5:$B$2003,$C42,'3. 5기 수입지출장부'!$A$5:$A$2003,"&gt;="&amp;DATE(2026,G$5,1),'3. 5기 수입지출장부'!$A$5:$A$2003,"&lt;"&amp;DATE(2026,G$5+1,1),'3. 5기 수입지출장부'!$E$5:$E$2003,"&gt;0")&gt;0,"■","")</f>
        <v/>
      </c>
      <c r="H43" s="14" t="str">
        <f>IF(COUNTIFS('3. 5기 수입지출장부'!$B$5:$B$2003,$C42,'3. 5기 수입지출장부'!$A$5:$A$2003,"&gt;="&amp;DATE(2026,H$5,1),'3. 5기 수입지출장부'!$A$5:$A$2003,"&lt;"&amp;DATE(2026,H$5+1,1),'3. 5기 수입지출장부'!$E$5:$E$2003,"&gt;0")&gt;0,"■","")</f>
        <v/>
      </c>
      <c r="I43" s="14" t="str">
        <f>IF(COUNTIFS('3. 5기 수입지출장부'!$B$5:$B$2003,$C42,'3. 5기 수입지출장부'!$A$5:$A$2003,"&gt;="&amp;DATE(2026,I$5,1),'3. 5기 수입지출장부'!$A$5:$A$2003,"&lt;"&amp;DATE(2026,I$5+1,1),'3. 5기 수입지출장부'!$E$5:$E$2003,"&gt;0")&gt;0,"■","")</f>
        <v/>
      </c>
      <c r="J43" s="14" t="str">
        <f>IF(COUNTIFS('3. 5기 수입지출장부'!$B$5:$B$2003,$C42,'3. 5기 수입지출장부'!$A$5:$A$2003,"&gt;="&amp;DATE(2026,J$5,1),'3. 5기 수입지출장부'!$A$5:$A$2003,"&lt;"&amp;DATE(2026,J$5+1,1),'3. 5기 수입지출장부'!$E$5:$E$2003,"&gt;0")&gt;0,"■","")</f>
        <v/>
      </c>
      <c r="K43" s="14" t="str">
        <f>IF(COUNTIFS('3. 5기 수입지출장부'!$B$5:$B$2003,$C42,'3. 5기 수입지출장부'!$A$5:$A$2003,"&gt;="&amp;DATE(2026,K$5,1),'3. 5기 수입지출장부'!$A$5:$A$2003,"&lt;"&amp;DATE(2026,K$5+1,1),'3. 5기 수입지출장부'!$E$5:$E$2003,"&gt;0")&gt;0,"■","")</f>
        <v/>
      </c>
      <c r="L43" s="14" t="str">
        <f>IF(COUNTIFS('3. 5기 수입지출장부'!$B$5:$B$2003,$C42,'3. 5기 수입지출장부'!$A$5:$A$2003,"&gt;="&amp;DATE(2026,L$5,1),'3. 5기 수입지출장부'!$A$5:$A$2003,"&lt;"&amp;DATE(2026,L$5+1,1),'3. 5기 수입지출장부'!$E$5:$E$2003,"&gt;0")&gt;0,"■","")</f>
        <v/>
      </c>
      <c r="M43" s="14" t="str">
        <f>IF(COUNTIFS('3. 5기 수입지출장부'!$B$5:$B$2003,$C42,'3. 5기 수입지출장부'!$A$5:$A$2003,"&gt;="&amp;DATE(2026,M$5,1),'3. 5기 수입지출장부'!$A$5:$A$2003,"&lt;"&amp;DATE(2026,M$5+1,1),'3. 5기 수입지출장부'!$E$5:$E$2003,"&gt;0")&gt;0,"■","")</f>
        <v/>
      </c>
      <c r="N43" s="14" t="str">
        <f>IF(COUNTIFS('3. 5기 수입지출장부'!$B$5:$B$2003,$C42,'3. 5기 수입지출장부'!$A$5:$A$2003,"&gt;="&amp;DATE(2026,N$5,1),'3. 5기 수입지출장부'!$A$5:$A$2003,"&lt;"&amp;DATE(2026,N$5+1,1),'3. 5기 수입지출장부'!$E$5:$E$2003,"&gt;0")&gt;0,"■","")</f>
        <v/>
      </c>
      <c r="O43" s="14" t="str">
        <f>IF(COUNTIFS('3. 5기 수입지출장부'!$B$5:$B$2003,$C42,'3. 5기 수입지출장부'!$A$5:$A$2003,"&gt;="&amp;DATE(2026,O$5,1),'3. 5기 수입지출장부'!$A$5:$A$2003,"&lt;"&amp;DATE(2026,O$5+1,1),'3. 5기 수입지출장부'!$E$5:$E$2003,"&gt;0")&gt;0,"■","")</f>
        <v/>
      </c>
      <c r="P43" s="14" t="str">
        <f>IF(COUNTIFS('3. 5기 수입지출장부'!$B$5:$B$2003,$C42,'3. 5기 수입지출장부'!$A$5:$A$2003,"&gt;="&amp;DATE(2026,P$5,1),'3. 5기 수입지출장부'!$A$5:$A$2003,"&lt;"&amp;DATE(2026,P$5+1,1),'3. 5기 수입지출장부'!$E$5:$E$2003,"&gt;0")&gt;0,"■","")</f>
        <v/>
      </c>
      <c r="Q43" s="207"/>
      <c r="R43" s="208"/>
      <c r="S43" s="184"/>
      <c r="T43" s="206"/>
      <c r="U43" s="3"/>
      <c r="V43" s="3"/>
      <c r="W43" s="3"/>
      <c r="X43" s="199"/>
      <c r="Y43" s="201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4"/>
      <c r="AN43" s="180"/>
      <c r="AO43" s="215"/>
      <c r="AP43" s="201"/>
    </row>
    <row r="44" spans="1:42" ht="24.75" customHeight="1">
      <c r="A44" s="3"/>
      <c r="B44" s="181">
        <v>20</v>
      </c>
      <c r="C44" s="177" t="s">
        <v>262</v>
      </c>
      <c r="D44" s="6" t="s">
        <v>282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211">
        <f>'2. 5기_예산목간'!D57</f>
        <v>3450291</v>
      </c>
      <c r="R44" s="212"/>
      <c r="S44" s="183">
        <f>Q45/Q44</f>
        <v>0</v>
      </c>
      <c r="T44" s="195" t="s">
        <v>283</v>
      </c>
      <c r="U44" s="3"/>
      <c r="V44" s="3"/>
      <c r="W44" s="3"/>
      <c r="X44" s="180"/>
      <c r="Y44" s="180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79"/>
      <c r="AN44" s="180"/>
      <c r="AO44" s="180"/>
      <c r="AP44" s="180"/>
    </row>
    <row r="45" spans="1:42" ht="24.75" customHeight="1">
      <c r="A45" s="3"/>
      <c r="B45" s="182"/>
      <c r="C45" s="178"/>
      <c r="D45" s="14" t="s">
        <v>280</v>
      </c>
      <c r="E45" s="14" t="str">
        <f>IF(COUNTIFS('3. 5기 수입지출장부'!$C$5:$C$2003,$C44,'3. 5기 수입지출장부'!$A$5:$A$2003,"&gt;="&amp;DATE(2026,E$5,1),'3. 5기 수입지출장부'!$A$5:$A$2003,"&lt;"&amp;DATE(2026,E$5+1,1),'3. 5기 수입지출장부'!$E$5:$E$2003,"&gt;0")&gt;0,"■","")</f>
        <v/>
      </c>
      <c r="F45" s="9" t="str">
        <f>IF(COUNTIFS('3. 5기 수입지출장부'!$C$5:$C$2003,$C44,'3. 5기 수입지출장부'!$A$5:$A$2003,"&gt;="&amp;DATE(2026,F$5,1),'3. 5기 수입지출장부'!$A$5:$A$2003,"&lt;"&amp;DATE(2026,F$5+1,1),'3. 5기 수입지출장부'!$E$5:$E$2003,"&gt;0")&gt;0,"■","")</f>
        <v/>
      </c>
      <c r="G45" s="9" t="str">
        <f>IF(COUNTIFS('3. 5기 수입지출장부'!$C$5:$C$2003,$C44,'3. 5기 수입지출장부'!$A$5:$A$2003,"&gt;="&amp;DATE(2026,G$5,1),'3. 5기 수입지출장부'!$A$5:$A$2003,"&lt;"&amp;DATE(2026,G$5+1,1),'3. 5기 수입지출장부'!$E$5:$E$2003,"&gt;0")&gt;0,"■","")</f>
        <v/>
      </c>
      <c r="H45" s="9" t="str">
        <f>IF(COUNTIFS('3. 5기 수입지출장부'!$C$5:$C$2003,$C44,'3. 5기 수입지출장부'!$A$5:$A$2003,"&gt;="&amp;DATE(2026,H$5,1),'3. 5기 수입지출장부'!$A$5:$A$2003,"&lt;"&amp;DATE(2026,H$5+1,1),'3. 5기 수입지출장부'!$E$5:$E$2003,"&gt;0")&gt;0,"■","")</f>
        <v/>
      </c>
      <c r="I45" s="9" t="str">
        <f>IF(COUNTIFS('3. 5기 수입지출장부'!$C$5:$C$2003,$C44,'3. 5기 수입지출장부'!$A$5:$A$2003,"&gt;="&amp;DATE(2026,I$5,1),'3. 5기 수입지출장부'!$A$5:$A$2003,"&lt;"&amp;DATE(2026,I$5+1,1),'3. 5기 수입지출장부'!$E$5:$E$2003,"&gt;0")&gt;0,"■","")</f>
        <v/>
      </c>
      <c r="J45" s="9" t="str">
        <f>IF(COUNTIFS('3. 5기 수입지출장부'!$C$5:$C$2003,$C44,'3. 5기 수입지출장부'!$A$5:$A$2003,"&gt;="&amp;DATE(2026,J$5,1),'3. 5기 수입지출장부'!$A$5:$A$2003,"&lt;"&amp;DATE(2026,J$5+1,1),'3. 5기 수입지출장부'!$E$5:$E$2003,"&gt;0")&gt;0,"■","")</f>
        <v/>
      </c>
      <c r="K45" s="9" t="str">
        <f>IF(COUNTIFS('3. 5기 수입지출장부'!$C$5:$C$2003,$C44,'3. 5기 수입지출장부'!$A$5:$A$2003,"&gt;="&amp;DATE(2026,K$5,1),'3. 5기 수입지출장부'!$A$5:$A$2003,"&lt;"&amp;DATE(2026,K$5+1,1),'3. 5기 수입지출장부'!$E$5:$E$2003,"&gt;0")&gt;0,"■","")</f>
        <v/>
      </c>
      <c r="L45" s="9" t="str">
        <f>IF(COUNTIFS('3. 5기 수입지출장부'!$C$5:$C$2003,$C44,'3. 5기 수입지출장부'!$A$5:$A$2003,"&gt;="&amp;DATE(2026,L$5,1),'3. 5기 수입지출장부'!$A$5:$A$2003,"&lt;"&amp;DATE(2026,L$5+1,1),'3. 5기 수입지출장부'!$E$5:$E$2003,"&gt;0")&gt;0,"■","")</f>
        <v/>
      </c>
      <c r="M45" s="9" t="str">
        <f>IF(COUNTIFS('3. 5기 수입지출장부'!$C$5:$C$2003,$C44,'3. 5기 수입지출장부'!$A$5:$A$2003,"&gt;="&amp;DATE(2026,M$5,1),'3. 5기 수입지출장부'!$A$5:$A$2003,"&lt;"&amp;DATE(2026,M$5+1,1),'3. 5기 수입지출장부'!$E$5:$E$2003,"&gt;0")&gt;0,"■","")</f>
        <v/>
      </c>
      <c r="N45" s="9" t="str">
        <f>IF(COUNTIFS('3. 5기 수입지출장부'!$C$5:$C$2003,$C44,'3. 5기 수입지출장부'!$A$5:$A$2003,"&gt;="&amp;DATE(2026,N$5,1),'3. 5기 수입지출장부'!$A$5:$A$2003,"&lt;"&amp;DATE(2026,N$5+1,1),'3. 5기 수입지출장부'!$E$5:$E$2003,"&gt;0")&gt;0,"■","")</f>
        <v/>
      </c>
      <c r="O45" s="9" t="str">
        <f>IF(COUNTIFS('3. 5기 수입지출장부'!$C$5:$C$2003,$C44,'3. 5기 수입지출장부'!$A$5:$A$2003,"&gt;="&amp;DATE(2026,O$5,1),'3. 5기 수입지출장부'!$A$5:$A$2003,"&lt;"&amp;DATE(2026,O$5+1,1),'3. 5기 수입지출장부'!$E$5:$E$2003,"&gt;0")&gt;0,"■","")</f>
        <v/>
      </c>
      <c r="P45" s="9" t="str">
        <f>IF(COUNTIFS('3. 5기 수입지출장부'!$C$5:$C$2003,$C44,'3. 5기 수입지출장부'!$A$5:$A$2003,"&gt;="&amp;DATE(2026,P$5,1),'3. 5기 수입지출장부'!$A$5:$A$2003,"&lt;"&amp;DATE(2026,P$5+1,1),'3. 5기 수입지출장부'!$E$5:$E$2003,"&gt;0")&gt;0,"■","")</f>
        <v/>
      </c>
      <c r="Q45" s="175">
        <v>0</v>
      </c>
      <c r="R45" s="176"/>
      <c r="S45" s="184"/>
      <c r="T45" s="184"/>
      <c r="U45" s="3"/>
      <c r="V45" s="3"/>
      <c r="W45" s="13"/>
      <c r="X45" s="199"/>
      <c r="Y45" s="201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4"/>
      <c r="AN45" s="180"/>
      <c r="AO45" s="215"/>
      <c r="AP45" s="201"/>
    </row>
    <row r="46" spans="1:42" ht="24.75" customHeight="1">
      <c r="A46" s="3"/>
      <c r="B46" s="185">
        <v>21</v>
      </c>
      <c r="C46" s="177" t="s">
        <v>260</v>
      </c>
      <c r="D46" s="6" t="s">
        <v>282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211">
        <f>'2. 5기_예산목간'!D55</f>
        <v>10000000</v>
      </c>
      <c r="R46" s="212"/>
      <c r="S46" s="183">
        <v>0</v>
      </c>
      <c r="T46" s="195" t="s">
        <v>283</v>
      </c>
      <c r="U46" s="3"/>
      <c r="V46" s="3"/>
      <c r="W46" s="3"/>
      <c r="X46" s="180"/>
      <c r="Y46" s="180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79"/>
      <c r="AN46" s="180"/>
      <c r="AO46" s="180"/>
      <c r="AP46" s="180"/>
    </row>
    <row r="47" spans="1:42" ht="24.75" customHeight="1">
      <c r="A47" s="3"/>
      <c r="B47" s="182"/>
      <c r="C47" s="178"/>
      <c r="D47" s="14" t="s">
        <v>280</v>
      </c>
      <c r="E47" s="14" t="str">
        <f>IF(COUNTIFS('3. 5기 수입지출장부'!$C$5:$C$2003,$C46,'3. 5기 수입지출장부'!$A$5:$A$2003,"&gt;="&amp;DATE(2026,E$5,1),'3. 5기 수입지출장부'!$A$5:$A$2003,"&lt;"&amp;DATE(2026,E$5+1,1),'3. 5기 수입지출장부'!$E$5:$E$2003,"&gt;0")&gt;0,"■","")</f>
        <v/>
      </c>
      <c r="F47" s="5" t="str">
        <f>IF(COUNTIFS('3. 5기 수입지출장부'!$C$5:$C$2003,$C46,'3. 5기 수입지출장부'!$A$5:$A$2003,"&gt;="&amp;DATE(2026,F$5,1),'3. 5기 수입지출장부'!$A$5:$A$2003,"&lt;"&amp;DATE(2026,F$5+1,1),'3. 5기 수입지출장부'!$E$5:$E$2003,"&gt;0")&gt;0,"■","")</f>
        <v/>
      </c>
      <c r="G47" s="5" t="str">
        <f>IF(COUNTIFS('3. 5기 수입지출장부'!$C$5:$C$2003,$C46,'3. 5기 수입지출장부'!$A$5:$A$2003,"&gt;="&amp;DATE(2026,G$5,1),'3. 5기 수입지출장부'!$A$5:$A$2003,"&lt;"&amp;DATE(2026,G$5+1,1),'3. 5기 수입지출장부'!$E$5:$E$2003,"&gt;0")&gt;0,"■","")</f>
        <v/>
      </c>
      <c r="H47" s="14" t="str">
        <f>IF(COUNTIFS('3. 5기 수입지출장부'!$C$5:$C$2003,$C46,'3. 5기 수입지출장부'!$A$5:$A$2003,"&gt;="&amp;DATE(2026,H$5,1),'3. 5기 수입지출장부'!$A$5:$A$2003,"&lt;"&amp;DATE(2026,H$5+1,1),'3. 5기 수입지출장부'!$E$5:$E$2003,"&gt;0")&gt;0,"■","")</f>
        <v/>
      </c>
      <c r="I47" s="14" t="str">
        <f>IF(COUNTIFS('3. 5기 수입지출장부'!$C$5:$C$2003,$C46,'3. 5기 수입지출장부'!$A$5:$A$2003,"&gt;="&amp;DATE(2026,I$5,1),'3. 5기 수입지출장부'!$A$5:$A$2003,"&lt;"&amp;DATE(2026,I$5+1,1),'3. 5기 수입지출장부'!$E$5:$E$2003,"&gt;0")&gt;0,"■","")</f>
        <v/>
      </c>
      <c r="J47" s="5" t="str">
        <f>IF(COUNTIFS('3. 5기 수입지출장부'!$C$5:$C$2003,$C46,'3. 5기 수입지출장부'!$A$5:$A$2003,"&gt;="&amp;DATE(2026,J$5,1),'3. 5기 수입지출장부'!$A$5:$A$2003,"&lt;"&amp;DATE(2026,J$5+1,1),'3. 5기 수입지출장부'!$E$5:$E$2003,"&gt;0")&gt;0,"■","")</f>
        <v/>
      </c>
      <c r="K47" s="5" t="str">
        <f>IF(COUNTIFS('3. 5기 수입지출장부'!$C$5:$C$2003,$C46,'3. 5기 수입지출장부'!$A$5:$A$2003,"&gt;="&amp;DATE(2026,K$5,1),'3. 5기 수입지출장부'!$A$5:$A$2003,"&lt;"&amp;DATE(2026,K$5+1,1),'3. 5기 수입지출장부'!$E$5:$E$2003,"&gt;0")&gt;0,"■","")</f>
        <v/>
      </c>
      <c r="L47" s="5" t="str">
        <f>IF(COUNTIFS('3. 5기 수입지출장부'!$C$5:$C$2003,$C46,'3. 5기 수입지출장부'!$A$5:$A$2003,"&gt;="&amp;DATE(2026,L$5,1),'3. 5기 수입지출장부'!$A$5:$A$2003,"&lt;"&amp;DATE(2026,L$5+1,1),'3. 5기 수입지출장부'!$E$5:$E$2003,"&gt;0")&gt;0,"■","")</f>
        <v/>
      </c>
      <c r="M47" s="5" t="str">
        <f>IF(COUNTIFS('3. 5기 수입지출장부'!$C$5:$C$2003,$C46,'3. 5기 수입지출장부'!$A$5:$A$2003,"&gt;="&amp;DATE(2026,M$5,1),'3. 5기 수입지출장부'!$A$5:$A$2003,"&lt;"&amp;DATE(2026,M$5+1,1),'3. 5기 수입지출장부'!$E$5:$E$2003,"&gt;0")&gt;0,"■","")</f>
        <v/>
      </c>
      <c r="N47" s="5" t="str">
        <f>IF(COUNTIFS('3. 5기 수입지출장부'!$C$5:$C$2003,$C46,'3. 5기 수입지출장부'!$A$5:$A$2003,"&gt;="&amp;DATE(2026,N$5,1),'3. 5기 수입지출장부'!$A$5:$A$2003,"&lt;"&amp;DATE(2026,N$5+1,1),'3. 5기 수입지출장부'!$E$5:$E$2003,"&gt;0")&gt;0,"■","")</f>
        <v/>
      </c>
      <c r="O47" s="14" t="str">
        <f>IF(COUNTIFS('3. 5기 수입지출장부'!$C$5:$C$2003,$C46,'3. 5기 수입지출장부'!$A$5:$A$2003,"&gt;="&amp;DATE(2026,O$5,1),'3. 5기 수입지출장부'!$A$5:$A$2003,"&lt;"&amp;DATE(2026,O$5+1,1),'3. 5기 수입지출장부'!$E$5:$E$2003,"&gt;0")&gt;0,"■","")</f>
        <v/>
      </c>
      <c r="P47" s="14" t="str">
        <f>IF(COUNTIFS('3. 5기 수입지출장부'!$C$5:$C$2003,$C46,'3. 5기 수입지출장부'!$A$5:$A$2003,"&gt;="&amp;DATE(2026,P$5,1),'3. 5기 수입지출장부'!$A$5:$A$2003,"&lt;"&amp;DATE(2026,P$5+1,1),'3. 5기 수입지출장부'!$E$5:$E$2003,"&gt;0")&gt;0,"■","")</f>
        <v/>
      </c>
      <c r="Q47" s="232"/>
      <c r="R47" s="233"/>
      <c r="S47" s="184"/>
      <c r="T47" s="184"/>
      <c r="U47" s="3"/>
      <c r="V47" s="13"/>
      <c r="W47" s="3"/>
      <c r="X47" s="199"/>
      <c r="Y47" s="201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4"/>
      <c r="AN47" s="180"/>
      <c r="AO47" s="215"/>
      <c r="AP47" s="201"/>
    </row>
    <row r="48" spans="1:42" ht="27" customHeight="1">
      <c r="A48" s="3"/>
      <c r="B48" s="219" t="s">
        <v>294</v>
      </c>
      <c r="C48" s="220"/>
      <c r="D48" s="224" t="s">
        <v>295</v>
      </c>
      <c r="E48" s="225"/>
      <c r="F48" s="225"/>
      <c r="G48" s="225"/>
      <c r="H48" s="225"/>
      <c r="I48" s="225"/>
      <c r="J48" s="225"/>
      <c r="K48" s="225"/>
      <c r="L48" s="225"/>
      <c r="M48" s="225"/>
      <c r="N48" s="225"/>
      <c r="O48" s="225"/>
      <c r="P48" s="226"/>
      <c r="Q48" s="234">
        <f>SUM(Q6,Q8,Q10,Q12,Q14,Q16,Q18,Q20,Q22,Q24,Q26,Q28,Q30,Q32,Q34,Q36,Q38,Q40,Q42,Q44,Q46)</f>
        <v>41218091</v>
      </c>
      <c r="R48" s="226"/>
      <c r="S48" s="209">
        <f>Q49/Q48</f>
        <v>0.17960754174665683</v>
      </c>
      <c r="T48" s="223"/>
      <c r="U48" s="3"/>
      <c r="V48" s="13"/>
      <c r="W48" s="13"/>
      <c r="X48" s="180"/>
      <c r="Y48" s="180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79"/>
      <c r="AN48" s="180"/>
      <c r="AO48" s="180"/>
      <c r="AP48" s="180"/>
    </row>
    <row r="49" spans="1:42" ht="27" customHeight="1">
      <c r="A49" s="3"/>
      <c r="B49" s="221"/>
      <c r="C49" s="222"/>
      <c r="D49" s="227" t="s">
        <v>296</v>
      </c>
      <c r="E49" s="228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14"/>
      <c r="Q49" s="213">
        <f>SUM(Q7,Q9,Q11,Q15,Q17,Q19,Q21,Q23,Q25,Q27,Q29,Q31,Q33,Q35,Q37,Q39,Q41,Q43,Q45,Q47)</f>
        <v>7403080</v>
      </c>
      <c r="R49" s="214"/>
      <c r="S49" s="210"/>
      <c r="T49" s="210"/>
      <c r="U49" s="3"/>
      <c r="V49" s="3"/>
      <c r="W49" s="13"/>
      <c r="X49" s="199"/>
      <c r="Y49" s="201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4"/>
      <c r="AN49" s="180"/>
      <c r="AO49" s="215"/>
      <c r="AP49" s="201"/>
    </row>
    <row r="50" spans="1:42" ht="10.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24"/>
      <c r="U50" s="1"/>
      <c r="V50" s="1"/>
      <c r="W50" s="1"/>
      <c r="X50" s="180"/>
      <c r="Y50" s="180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79"/>
      <c r="AN50" s="180"/>
      <c r="AO50" s="180"/>
      <c r="AP50" s="180"/>
    </row>
    <row r="51" spans="1:42" ht="13.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99"/>
      <c r="Y51" s="201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4"/>
      <c r="AN51" s="180"/>
      <c r="AO51" s="215"/>
      <c r="AP51" s="201"/>
    </row>
    <row r="52" spans="1:42" ht="13.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5"/>
      <c r="R52" s="1"/>
      <c r="S52" s="1"/>
      <c r="T52" s="1"/>
      <c r="U52" s="1"/>
      <c r="V52" s="1"/>
      <c r="W52" s="1"/>
      <c r="X52" s="180"/>
      <c r="Y52" s="180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79"/>
      <c r="AN52" s="180"/>
      <c r="AO52" s="180"/>
      <c r="AP52" s="180"/>
    </row>
    <row r="53" spans="1:42" ht="13.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6"/>
      <c r="R53" s="1"/>
      <c r="S53" s="1"/>
      <c r="T53" s="1"/>
      <c r="U53" s="1"/>
      <c r="V53" s="1"/>
      <c r="W53" s="1"/>
      <c r="X53" s="199"/>
      <c r="Y53" s="201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4"/>
      <c r="AN53" s="180"/>
      <c r="AO53" s="215"/>
      <c r="AP53" s="201"/>
    </row>
    <row r="54" spans="1:42" ht="13.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80"/>
      <c r="Y54" s="180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79"/>
      <c r="AN54" s="180"/>
      <c r="AO54" s="180"/>
      <c r="AP54" s="180"/>
    </row>
    <row r="55" spans="1:42" ht="13.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99"/>
      <c r="Y55" s="201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79"/>
      <c r="AN55" s="180"/>
      <c r="AO55" s="215"/>
      <c r="AP55" s="201"/>
    </row>
    <row r="56" spans="1:42" ht="13.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80"/>
      <c r="Y56" s="180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79"/>
      <c r="AN56" s="180"/>
      <c r="AO56" s="180"/>
      <c r="AP56" s="180"/>
    </row>
    <row r="57" spans="1:42" ht="13.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201"/>
      <c r="Y57" s="180"/>
      <c r="Z57" s="201"/>
      <c r="AA57" s="180"/>
      <c r="AB57" s="180"/>
      <c r="AC57" s="180"/>
      <c r="AD57" s="180"/>
      <c r="AE57" s="180"/>
      <c r="AF57" s="180"/>
      <c r="AG57" s="180"/>
      <c r="AH57" s="180"/>
      <c r="AI57" s="180"/>
      <c r="AJ57" s="180"/>
      <c r="AK57" s="180"/>
      <c r="AL57" s="180"/>
      <c r="AM57" s="194"/>
      <c r="AN57" s="180"/>
      <c r="AO57" s="215"/>
      <c r="AP57" s="201"/>
    </row>
    <row r="58" spans="1:42" ht="13.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80"/>
      <c r="Y58" s="180"/>
      <c r="Z58" s="201"/>
      <c r="AA58" s="180"/>
      <c r="AB58" s="180"/>
      <c r="AC58" s="180"/>
      <c r="AD58" s="180"/>
      <c r="AE58" s="180"/>
      <c r="AF58" s="180"/>
      <c r="AG58" s="180"/>
      <c r="AH58" s="180"/>
      <c r="AI58" s="180"/>
      <c r="AJ58" s="180"/>
      <c r="AK58" s="180"/>
      <c r="AL58" s="180"/>
      <c r="AM58" s="179"/>
      <c r="AN58" s="180"/>
      <c r="AO58" s="180"/>
      <c r="AP58" s="180"/>
    </row>
    <row r="59" spans="1:42" ht="13.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ht="13.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ht="13.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13.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ht="13.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ht="13.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ht="13.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ht="13.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13.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ht="13.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ht="13.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ht="13.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ht="13.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ht="13.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ht="13.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ht="13.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ht="13.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ht="13.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ht="13.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ht="13.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ht="13.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ht="13.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ht="13.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ht="13.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ht="13.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ht="13.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ht="13.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ht="13.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ht="13.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ht="13.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ht="13.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ht="13.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ht="13.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ht="13.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ht="13.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ht="13.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ht="13.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ht="13.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ht="13.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ht="13.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ht="13.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ht="13.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ht="13.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ht="13.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ht="13.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ht="13.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ht="13.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ht="13.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ht="13.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ht="13.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ht="13.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ht="13.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ht="13.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ht="13.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ht="13.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ht="13.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ht="13.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ht="13.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ht="13.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ht="13.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ht="13.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ht="13.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ht="13.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ht="13.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ht="13.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ht="13.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ht="13.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ht="13.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ht="13.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ht="13.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ht="13.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ht="13.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ht="13.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ht="13.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ht="13.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ht="13.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ht="13.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ht="13.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ht="13.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ht="13.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ht="13.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ht="13.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ht="13.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ht="13.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ht="13.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ht="13.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ht="13.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ht="13.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ht="13.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ht="13.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ht="13.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ht="13.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ht="13.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ht="13.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ht="13.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ht="13.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ht="13.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ht="13.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ht="13.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ht="13.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ht="13.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ht="13.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ht="13.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ht="13.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ht="13.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ht="13.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ht="13.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ht="13.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ht="13.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ht="13.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ht="13.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ht="13.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ht="13.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ht="13.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ht="13.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ht="13.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ht="13.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ht="13.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ht="13.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ht="13.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ht="13.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ht="13.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ht="13.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ht="13.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ht="13.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ht="13.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ht="13.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ht="13.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ht="13.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ht="13.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ht="13.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ht="13.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ht="13.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ht="13.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ht="13.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ht="13.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ht="13.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ht="13.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ht="13.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ht="13.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ht="13.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ht="13.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ht="13.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ht="13.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ht="13.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ht="13.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ht="13.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ht="13.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ht="13.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ht="13.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ht="13.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ht="13.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ht="13.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ht="13.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ht="13.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ht="13.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ht="13.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ht="13.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ht="13.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ht="13.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ht="13.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ht="13.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ht="13.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ht="13.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ht="13.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ht="13.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ht="13.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ht="13.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ht="13.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ht="13.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ht="13.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ht="13.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ht="13.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ht="13.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ht="13.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ht="13.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ht="13.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ht="13.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ht="13.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ht="13.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ht="13.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ht="13.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ht="13.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ht="13.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ht="13.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ht="13.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ht="13.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ht="13.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ht="13.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ht="13.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ht="13.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ht="13.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ht="13.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ht="13.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ht="13.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ht="13.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ht="13.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ht="13.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ht="13.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ht="13.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ht="13.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ht="13.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ht="13.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ht="13.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ht="13.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ht="13.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ht="13.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ht="13.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ht="13.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ht="13.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ht="13.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ht="13.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ht="13.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ht="13.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ht="13.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ht="13.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ht="13.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ht="13.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ht="13.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ht="13.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ht="13.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ht="13.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ht="13.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ht="13.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ht="13.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ht="13.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ht="13.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ht="13.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ht="13.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ht="13.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ht="13.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ht="13.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ht="13.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ht="13.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ht="13.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ht="13.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ht="13.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ht="13.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ht="13.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ht="13.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ht="13.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ht="13.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ht="13.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ht="13.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ht="13.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ht="13.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ht="13.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ht="13.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ht="13.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ht="13.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ht="13.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ht="13.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ht="13.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ht="13.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ht="13.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ht="13.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ht="13.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ht="13.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ht="13.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ht="13.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ht="13.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ht="13.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ht="13.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ht="13.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ht="13.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ht="13.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ht="13.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ht="13.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ht="13.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ht="13.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ht="13.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ht="13.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ht="13.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ht="13.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ht="13.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ht="13.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ht="13.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ht="13.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ht="13.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ht="13.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ht="13.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ht="13.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ht="13.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ht="13.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ht="13.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ht="13.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ht="13.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ht="13.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ht="13.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ht="13.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ht="13.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ht="13.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ht="13.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ht="13.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ht="13.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ht="13.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ht="13.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ht="13.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ht="13.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ht="13.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ht="13.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ht="13.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ht="13.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ht="13.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ht="13.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ht="13.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ht="13.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ht="13.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ht="13.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ht="13.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ht="13.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ht="13.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ht="13.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ht="13.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ht="13.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ht="13.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ht="13.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ht="13.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ht="13.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ht="13.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ht="13.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ht="13.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ht="13.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ht="13.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ht="13.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ht="13.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ht="13.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ht="13.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ht="13.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ht="13.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ht="13.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ht="13.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ht="13.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ht="13.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ht="13.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ht="13.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ht="13.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ht="13.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ht="13.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ht="13.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ht="13.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ht="13.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ht="13.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ht="13.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ht="13.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ht="13.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ht="13.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ht="13.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ht="13.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ht="13.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ht="13.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ht="13.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ht="13.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ht="13.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ht="13.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ht="13.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ht="13.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ht="13.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ht="13.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ht="13.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ht="13.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ht="13.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ht="13.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ht="13.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ht="13.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ht="13.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ht="13.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ht="13.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ht="13.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ht="13.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ht="13.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ht="13.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ht="13.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ht="13.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ht="13.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ht="13.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ht="13.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ht="13.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ht="13.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ht="13.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ht="13.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ht="13.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ht="13.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ht="13.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ht="13.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ht="13.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ht="13.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ht="13.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ht="13.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ht="13.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ht="13.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ht="13.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ht="13.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ht="13.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ht="13.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ht="13.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ht="13.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ht="13.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ht="13.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ht="13.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ht="13.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ht="13.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ht="13.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ht="13.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ht="13.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ht="13.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ht="13.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ht="13.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ht="13.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ht="13.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ht="13.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ht="13.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ht="13.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ht="13.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ht="13.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ht="13.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ht="13.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ht="13.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ht="13.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ht="13.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ht="13.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ht="13.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ht="13.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ht="13.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ht="13.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ht="13.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ht="13.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ht="13.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ht="13.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ht="13.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ht="13.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ht="13.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ht="13.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ht="13.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ht="13.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ht="13.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ht="13.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ht="13.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ht="13.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ht="13.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ht="13.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ht="13.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ht="13.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ht="13.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ht="13.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ht="13.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ht="13.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ht="13.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ht="13.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ht="13.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ht="13.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ht="13.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ht="13.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ht="13.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ht="13.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ht="13.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ht="13.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ht="13.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ht="13.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ht="13.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ht="13.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ht="13.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ht="13.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ht="13.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ht="13.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ht="13.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ht="13.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ht="13.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ht="13.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ht="13.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ht="13.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ht="13.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ht="13.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ht="13.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ht="13.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ht="13.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ht="13.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ht="13.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ht="13.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ht="13.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ht="13.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ht="13.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ht="13.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ht="13.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ht="13.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ht="13.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ht="13.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ht="13.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ht="13.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ht="13.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ht="13.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ht="13.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ht="13.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ht="13.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ht="13.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ht="13.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ht="13.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ht="13.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ht="13.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ht="13.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ht="13.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ht="13.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ht="13.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ht="13.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ht="13.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ht="13.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ht="13.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ht="13.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ht="13.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ht="13.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ht="13.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ht="13.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ht="13.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ht="13.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ht="13.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ht="13.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ht="13.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ht="13.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ht="13.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ht="13.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ht="13.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ht="13.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ht="13.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ht="13.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ht="13.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ht="13.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ht="13.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ht="13.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ht="13.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ht="13.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ht="13.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ht="13.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ht="13.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ht="13.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ht="13.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ht="13.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ht="13.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ht="13.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ht="13.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ht="13.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ht="13.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ht="13.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ht="13.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ht="13.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ht="13.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ht="13.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ht="13.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ht="13.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ht="13.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ht="13.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ht="13.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ht="13.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ht="13.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ht="13.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ht="13.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ht="13.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ht="13.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ht="13.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ht="13.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ht="13.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ht="13.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ht="13.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ht="13.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ht="13.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ht="13.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ht="13.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ht="13.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ht="13.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ht="13.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ht="13.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ht="13.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ht="13.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ht="13.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ht="13.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ht="13.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ht="13.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ht="13.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ht="13.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ht="13.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ht="13.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ht="13.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ht="13.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ht="13.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ht="13.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ht="13.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ht="13.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ht="13.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ht="13.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ht="13.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ht="13.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ht="13.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ht="13.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ht="13.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ht="13.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ht="13.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ht="13.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ht="13.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ht="13.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ht="13.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ht="13.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ht="13.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ht="13.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ht="13.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ht="13.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ht="13.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ht="13.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ht="13.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ht="13.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ht="13.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ht="13.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ht="13.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ht="13.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ht="13.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ht="13.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ht="13.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ht="13.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ht="13.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ht="13.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ht="13.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ht="13.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ht="13.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ht="13.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ht="13.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ht="13.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ht="13.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ht="13.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ht="13.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ht="13.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ht="13.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ht="13.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ht="13.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ht="13.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ht="13.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ht="13.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ht="13.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ht="13.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ht="13.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ht="13.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ht="13.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ht="13.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ht="13.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ht="13.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ht="13.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ht="13.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ht="13.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ht="13.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ht="13.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ht="13.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ht="13.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ht="13.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ht="13.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ht="13.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ht="13.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ht="13.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ht="13.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ht="13.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ht="13.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ht="13.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ht="13.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ht="13.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ht="13.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ht="13.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ht="13.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ht="13.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ht="13.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ht="13.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ht="13.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ht="13.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ht="13.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ht="13.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ht="13.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ht="13.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ht="13.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ht="13.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ht="13.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ht="13.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ht="13.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ht="13.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ht="13.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ht="13.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ht="13.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ht="13.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ht="13.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ht="13.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ht="13.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ht="13.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ht="13.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ht="13.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ht="13.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ht="13.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ht="13.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ht="13.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ht="13.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ht="13.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ht="13.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ht="13.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ht="13.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ht="13.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ht="13.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ht="13.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ht="13.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ht="13.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ht="13.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ht="13.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ht="13.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ht="13.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ht="13.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ht="13.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ht="13.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ht="13.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ht="13.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ht="13.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ht="13.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ht="13.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ht="13.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ht="13.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ht="13.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ht="13.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ht="13.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ht="13.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ht="13.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ht="13.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ht="13.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ht="13.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ht="13.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ht="13.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ht="13.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ht="13.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ht="13.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ht="13.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ht="13.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ht="13.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ht="13.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ht="13.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ht="13.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ht="13.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ht="13.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ht="13.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ht="13.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ht="13.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ht="13.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ht="13.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ht="13.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ht="13.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ht="13.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ht="13.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ht="13.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ht="13.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ht="13.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ht="13.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ht="13.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ht="13.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ht="13.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ht="13.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ht="13.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ht="13.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ht="13.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ht="13.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ht="13.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ht="13.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ht="13.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ht="13.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ht="13.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ht="13.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ht="13.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ht="13.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ht="13.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ht="13.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ht="13.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ht="13.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ht="13.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ht="13.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ht="13.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ht="13.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ht="13.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ht="13.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ht="13.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ht="13.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ht="13.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ht="13.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ht="13.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ht="13.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ht="13.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ht="13.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ht="13.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ht="13.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ht="13.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ht="13.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ht="13.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ht="13.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ht="13.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ht="13.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ht="13.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ht="13.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ht="13.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ht="13.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ht="13.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ht="13.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ht="13.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ht="13.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ht="13.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ht="13.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ht="13.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ht="13.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ht="13.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ht="13.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ht="13.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ht="13.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ht="13.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ht="13.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ht="13.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ht="13.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ht="13.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ht="13.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ht="13.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ht="13.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ht="13.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ht="13.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ht="13.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ht="13.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ht="13.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ht="13.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ht="13.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ht="13.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ht="13.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ht="13.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ht="13.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ht="13.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ht="13.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ht="13.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ht="13.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ht="13.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ht="13.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ht="13.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ht="13.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ht="13.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ht="13.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ht="13.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ht="13.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ht="13.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ht="13.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ht="13.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ht="13.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ht="13.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ht="13.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ht="13.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ht="13.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ht="13.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ht="13.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ht="13.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ht="13.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ht="13.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ht="13.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ht="13.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ht="13.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ht="13.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ht="13.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ht="13.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ht="13.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ht="13.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ht="13.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ht="13.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ht="13.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ht="13.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ht="13.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ht="13.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ht="13.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ht="13.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ht="13.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ht="13.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ht="13.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ht="13.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ht="13.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ht="13.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ht="13.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ht="13.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ht="13.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ht="13.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ht="13.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ht="13.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ht="13.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ht="13.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ht="13.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ht="13.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ht="13.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ht="13.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ht="13.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ht="13.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ht="13.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ht="13.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ht="13.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ht="13.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ht="13.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ht="13.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ht="13.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ht="13.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ht="13.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ht="13.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ht="13.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ht="13.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ht="13.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ht="13.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ht="13.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ht="13.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ht="13.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ht="13.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ht="13.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ht="13.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ht="13.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ht="13.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ht="13.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ht="13.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ht="13.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ht="13.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ht="13.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ht="13.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ht="13.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ht="13.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ht="13.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ht="13.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ht="13.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ht="13.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ht="13.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ht="13.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ht="13.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ht="13.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ht="13.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ht="13.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ht="13.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ht="13.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ht="13.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ht="13.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ht="13.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ht="13.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ht="13.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ht="13.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ht="13.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ht="13.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ht="13.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 ht="13.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 ht="13.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 ht="13.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  <row r="1001" spans="1:42" ht="13.5" customHeight="1">
      <c r="A1001" s="1"/>
      <c r="B1001" s="2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</row>
    <row r="1002" spans="1:42" ht="13.5" customHeight="1">
      <c r="A1002" s="1"/>
      <c r="B1002" s="2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</row>
  </sheetData>
  <mergeCells count="274">
    <mergeCell ref="AP57:AP58"/>
    <mergeCell ref="AP17:AP18"/>
    <mergeCell ref="S4:S5"/>
    <mergeCell ref="Q36:R36"/>
    <mergeCell ref="AO25:AO26"/>
    <mergeCell ref="Y45:Y46"/>
    <mergeCell ref="AO55:AO56"/>
    <mergeCell ref="S36:S37"/>
    <mergeCell ref="AM31:AN31"/>
    <mergeCell ref="X57:Y58"/>
    <mergeCell ref="AP41:AP42"/>
    <mergeCell ref="T16:T17"/>
    <mergeCell ref="AM50:AN50"/>
    <mergeCell ref="AM15:AN15"/>
    <mergeCell ref="Y47:Y48"/>
    <mergeCell ref="AM55:AN55"/>
    <mergeCell ref="AP25:AP26"/>
    <mergeCell ref="Z58:AL58"/>
    <mergeCell ref="AM37:AN37"/>
    <mergeCell ref="X17:X18"/>
    <mergeCell ref="T24:T25"/>
    <mergeCell ref="T18:T19"/>
    <mergeCell ref="T10:T11"/>
    <mergeCell ref="AP31:AP32"/>
    <mergeCell ref="Y23:Y24"/>
    <mergeCell ref="Q34:R34"/>
    <mergeCell ref="AP49:AP50"/>
    <mergeCell ref="Y25:Y26"/>
    <mergeCell ref="AP27:AP28"/>
    <mergeCell ref="AO35:AO36"/>
    <mergeCell ref="Q44:R44"/>
    <mergeCell ref="Q22:R22"/>
    <mergeCell ref="AO57:AO58"/>
    <mergeCell ref="Q43:R43"/>
    <mergeCell ref="Y43:Y44"/>
    <mergeCell ref="AP51:AP52"/>
    <mergeCell ref="AM49:AN49"/>
    <mergeCell ref="Z57:AL57"/>
    <mergeCell ref="AM54:AN54"/>
    <mergeCell ref="AP45:AP46"/>
    <mergeCell ref="AP53:AP54"/>
    <mergeCell ref="AP47:AP48"/>
    <mergeCell ref="AP37:AP38"/>
    <mergeCell ref="AO53:AO54"/>
    <mergeCell ref="AP35:AP36"/>
    <mergeCell ref="Y53:Y54"/>
    <mergeCell ref="AM53:AN53"/>
    <mergeCell ref="AP23:AP24"/>
    <mergeCell ref="S22:S23"/>
    <mergeCell ref="T4:T5"/>
    <mergeCell ref="AK14:AP14"/>
    <mergeCell ref="AP55:AP56"/>
    <mergeCell ref="B46:B47"/>
    <mergeCell ref="Q24:R24"/>
    <mergeCell ref="Q18:R18"/>
    <mergeCell ref="Q33:R33"/>
    <mergeCell ref="B38:B39"/>
    <mergeCell ref="C26:C27"/>
    <mergeCell ref="Q8:R8"/>
    <mergeCell ref="AO43:AO44"/>
    <mergeCell ref="Y35:Y36"/>
    <mergeCell ref="Y17:Y18"/>
    <mergeCell ref="D4:D5"/>
    <mergeCell ref="T26:T27"/>
    <mergeCell ref="Q10:R10"/>
    <mergeCell ref="AO33:AO34"/>
    <mergeCell ref="Q19:R19"/>
    <mergeCell ref="B10:B11"/>
    <mergeCell ref="AM52:AN52"/>
    <mergeCell ref="B24:B25"/>
    <mergeCell ref="AO51:AO52"/>
    <mergeCell ref="T42:T43"/>
    <mergeCell ref="AM41:AN41"/>
    <mergeCell ref="Q47:R47"/>
    <mergeCell ref="Q25:R25"/>
    <mergeCell ref="S32:S33"/>
    <mergeCell ref="Q48:R48"/>
    <mergeCell ref="Y39:Y40"/>
    <mergeCell ref="AM34:AN34"/>
    <mergeCell ref="S44:S45"/>
    <mergeCell ref="Y33:Y34"/>
    <mergeCell ref="AM39:AN39"/>
    <mergeCell ref="B4:B5"/>
    <mergeCell ref="C38:C39"/>
    <mergeCell ref="X25:X26"/>
    <mergeCell ref="B22:B23"/>
    <mergeCell ref="Q45:R45"/>
    <mergeCell ref="AM21:AN21"/>
    <mergeCell ref="X43:X44"/>
    <mergeCell ref="Q32:R32"/>
    <mergeCell ref="Y41:Y42"/>
    <mergeCell ref="Q41:R41"/>
    <mergeCell ref="Q16:R16"/>
    <mergeCell ref="S18:S19"/>
    <mergeCell ref="AA15:AL15"/>
    <mergeCell ref="C28:C29"/>
    <mergeCell ref="C24:C25"/>
    <mergeCell ref="C12:C13"/>
    <mergeCell ref="Q20:R20"/>
    <mergeCell ref="Y31:Y32"/>
    <mergeCell ref="Q14:R14"/>
    <mergeCell ref="B34:B35"/>
    <mergeCell ref="T8:T9"/>
    <mergeCell ref="S28:S29"/>
    <mergeCell ref="C36:C37"/>
    <mergeCell ref="AM20:AN20"/>
    <mergeCell ref="X51:X52"/>
    <mergeCell ref="T22:T23"/>
    <mergeCell ref="S30:S31"/>
    <mergeCell ref="AO29:AO30"/>
    <mergeCell ref="Q46:R46"/>
    <mergeCell ref="AM35:AN35"/>
    <mergeCell ref="Y37:Y38"/>
    <mergeCell ref="B20:B21"/>
    <mergeCell ref="X41:X42"/>
    <mergeCell ref="T34:T35"/>
    <mergeCell ref="AO21:AO22"/>
    <mergeCell ref="D49:P49"/>
    <mergeCell ref="C32:C33"/>
    <mergeCell ref="AM44:AN44"/>
    <mergeCell ref="X33:X34"/>
    <mergeCell ref="AM51:AN51"/>
    <mergeCell ref="Q28:R28"/>
    <mergeCell ref="Q42:R42"/>
    <mergeCell ref="X23:X24"/>
    <mergeCell ref="S42:S43"/>
    <mergeCell ref="AO39:AO40"/>
    <mergeCell ref="X37:X38"/>
    <mergeCell ref="Y29:Y30"/>
    <mergeCell ref="T20:T21"/>
    <mergeCell ref="AO49:AO50"/>
    <mergeCell ref="B32:B33"/>
    <mergeCell ref="AM16:AN16"/>
    <mergeCell ref="T32:T33"/>
    <mergeCell ref="S26:S27"/>
    <mergeCell ref="C34:C35"/>
    <mergeCell ref="T28:T29"/>
    <mergeCell ref="D48:P48"/>
    <mergeCell ref="AO17:AO18"/>
    <mergeCell ref="B16:B17"/>
    <mergeCell ref="AM36:AN36"/>
    <mergeCell ref="C18:C19"/>
    <mergeCell ref="AM18:AN18"/>
    <mergeCell ref="Q39:R39"/>
    <mergeCell ref="T40:T41"/>
    <mergeCell ref="X49:X50"/>
    <mergeCell ref="AM48:AN48"/>
    <mergeCell ref="Q29:R29"/>
    <mergeCell ref="Q23:R23"/>
    <mergeCell ref="Q38:R38"/>
    <mergeCell ref="B36:B37"/>
    <mergeCell ref="AM32:AN32"/>
    <mergeCell ref="AM27:AN27"/>
    <mergeCell ref="X27:X28"/>
    <mergeCell ref="AP19:AP20"/>
    <mergeCell ref="C40:C41"/>
    <mergeCell ref="S24:S25"/>
    <mergeCell ref="AO45:AO46"/>
    <mergeCell ref="B44:B45"/>
    <mergeCell ref="Q31:R31"/>
    <mergeCell ref="Q40:R40"/>
    <mergeCell ref="Y49:Y50"/>
    <mergeCell ref="Y27:Y28"/>
    <mergeCell ref="AM30:AN30"/>
    <mergeCell ref="AM45:AN45"/>
    <mergeCell ref="AO23:AO24"/>
    <mergeCell ref="T48:T49"/>
    <mergeCell ref="T30:T31"/>
    <mergeCell ref="T36:T37"/>
    <mergeCell ref="AP21:AP22"/>
    <mergeCell ref="X39:X40"/>
    <mergeCell ref="AO19:AO20"/>
    <mergeCell ref="C42:C43"/>
    <mergeCell ref="AP39:AP40"/>
    <mergeCell ref="C20:C21"/>
    <mergeCell ref="X47:X48"/>
    <mergeCell ref="B18:B19"/>
    <mergeCell ref="AM47:AN47"/>
    <mergeCell ref="Q11:R11"/>
    <mergeCell ref="AM33:AN33"/>
    <mergeCell ref="C6:C7"/>
    <mergeCell ref="S12:S13"/>
    <mergeCell ref="AO27:AO28"/>
    <mergeCell ref="B48:C49"/>
    <mergeCell ref="B26:B27"/>
    <mergeCell ref="C14:C15"/>
    <mergeCell ref="Y15:Y16"/>
    <mergeCell ref="B14:B15"/>
    <mergeCell ref="B28:B29"/>
    <mergeCell ref="B40:B41"/>
    <mergeCell ref="S8:S9"/>
    <mergeCell ref="C10:C11"/>
    <mergeCell ref="C16:C17"/>
    <mergeCell ref="B42:B43"/>
    <mergeCell ref="Q9:R9"/>
    <mergeCell ref="Q27:R27"/>
    <mergeCell ref="Q30:R30"/>
    <mergeCell ref="Q17:R17"/>
    <mergeCell ref="C46:C47"/>
    <mergeCell ref="S16:S17"/>
    <mergeCell ref="AO31:AO32"/>
    <mergeCell ref="B30:B31"/>
    <mergeCell ref="AP43:AP44"/>
    <mergeCell ref="Q12:R12"/>
    <mergeCell ref="T38:T39"/>
    <mergeCell ref="S14:S15"/>
    <mergeCell ref="Q37:R37"/>
    <mergeCell ref="Y55:Y56"/>
    <mergeCell ref="AM19:AN19"/>
    <mergeCell ref="Y21:Y22"/>
    <mergeCell ref="AM46:AN46"/>
    <mergeCell ref="AP33:AP34"/>
    <mergeCell ref="AM28:AN28"/>
    <mergeCell ref="AM56:AN56"/>
    <mergeCell ref="S48:S49"/>
    <mergeCell ref="X53:X54"/>
    <mergeCell ref="AM43:AN43"/>
    <mergeCell ref="Q26:R26"/>
    <mergeCell ref="Q35:R35"/>
    <mergeCell ref="Q49:R49"/>
    <mergeCell ref="AO47:AO48"/>
    <mergeCell ref="AP29:AP30"/>
    <mergeCell ref="AO37:AO38"/>
    <mergeCell ref="AO15:AO16"/>
    <mergeCell ref="AP15:AP16"/>
    <mergeCell ref="AO41:AO42"/>
    <mergeCell ref="AM58:AN58"/>
    <mergeCell ref="Y19:Y20"/>
    <mergeCell ref="AM40:AN40"/>
    <mergeCell ref="S10:S11"/>
    <mergeCell ref="Y51:Y52"/>
    <mergeCell ref="S38:S39"/>
    <mergeCell ref="AM24:AN24"/>
    <mergeCell ref="S34:S35"/>
    <mergeCell ref="X55:X56"/>
    <mergeCell ref="AM57:AN57"/>
    <mergeCell ref="S40:S41"/>
    <mergeCell ref="X45:X46"/>
    <mergeCell ref="X29:X30"/>
    <mergeCell ref="S20:S21"/>
    <mergeCell ref="AM29:AN29"/>
    <mergeCell ref="AM23:AN23"/>
    <mergeCell ref="AM38:AN38"/>
    <mergeCell ref="T44:T45"/>
    <mergeCell ref="T46:T47"/>
    <mergeCell ref="X21:X22"/>
    <mergeCell ref="AM25:AN25"/>
    <mergeCell ref="X31:X32"/>
    <mergeCell ref="X19:X20"/>
    <mergeCell ref="Z15:Z16"/>
    <mergeCell ref="E4:P4"/>
    <mergeCell ref="Q13:R13"/>
    <mergeCell ref="C30:C31"/>
    <mergeCell ref="AM26:AN26"/>
    <mergeCell ref="Q7:R7"/>
    <mergeCell ref="Q21:R21"/>
    <mergeCell ref="B12:B13"/>
    <mergeCell ref="AM42:AN42"/>
    <mergeCell ref="S46:S47"/>
    <mergeCell ref="B6:B7"/>
    <mergeCell ref="Q4:R5"/>
    <mergeCell ref="C4:C5"/>
    <mergeCell ref="C8:C9"/>
    <mergeCell ref="Q15:R15"/>
    <mergeCell ref="AM17:AN17"/>
    <mergeCell ref="B8:B9"/>
    <mergeCell ref="T14:T15"/>
    <mergeCell ref="AM22:AN22"/>
    <mergeCell ref="C44:C45"/>
    <mergeCell ref="C22:C23"/>
    <mergeCell ref="S6:S7"/>
    <mergeCell ref="Q6:R6"/>
    <mergeCell ref="X35:X36"/>
    <mergeCell ref="T6:T7"/>
  </mergeCells>
  <phoneticPr fontId="3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selection activeCell="H10" sqref="H10"/>
    </sheetView>
  </sheetViews>
  <sheetFormatPr defaultColWidth="14.42578125" defaultRowHeight="15"/>
  <cols>
    <col min="1" max="1" width="11.85546875" style="158" customWidth="1"/>
    <col min="2" max="5" width="16.28515625" style="158" customWidth="1"/>
    <col min="6" max="6" width="66.85546875" style="158" customWidth="1"/>
    <col min="7" max="8" width="9" style="158" customWidth="1"/>
    <col min="9" max="9" width="12.5703125" style="158" customWidth="1"/>
    <col min="10" max="10" width="10.7109375" style="158" customWidth="1"/>
    <col min="11" max="11" width="11.42578125" style="158" customWidth="1"/>
    <col min="12" max="26" width="8.7109375" style="158" customWidth="1"/>
  </cols>
  <sheetData>
    <row r="1" spans="1:26" ht="22.5" customHeight="1">
      <c r="A1" s="27"/>
      <c r="B1" s="28"/>
      <c r="C1" s="28"/>
      <c r="D1" s="28"/>
      <c r="E1" s="28"/>
      <c r="F1" s="28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22.5" customHeight="1">
      <c r="A2" s="30"/>
      <c r="B2" s="30"/>
      <c r="C2" s="30"/>
      <c r="D2" s="30"/>
      <c r="E2" s="30"/>
      <c r="F2" s="30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22.5" customHeight="1">
      <c r="A3" s="30"/>
      <c r="B3" s="30"/>
      <c r="C3" s="30"/>
      <c r="D3" s="30"/>
      <c r="E3" s="30"/>
      <c r="F3" s="30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24" customHeight="1">
      <c r="A4" s="31" t="s">
        <v>297</v>
      </c>
      <c r="B4" s="32"/>
      <c r="C4" s="32"/>
      <c r="D4" s="32"/>
      <c r="E4" s="32"/>
      <c r="F4" s="32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6.5" customHeight="1">
      <c r="A5" s="247" t="s">
        <v>298</v>
      </c>
      <c r="B5" s="252"/>
      <c r="C5" s="248"/>
      <c r="D5" s="247" t="s">
        <v>299</v>
      </c>
      <c r="E5" s="248"/>
      <c r="F5" s="247" t="s">
        <v>300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6.5" customHeight="1">
      <c r="A6" s="33" t="s">
        <v>301</v>
      </c>
      <c r="B6" s="33" t="s">
        <v>302</v>
      </c>
      <c r="C6" s="33" t="s">
        <v>303</v>
      </c>
      <c r="D6" s="33" t="s">
        <v>304</v>
      </c>
      <c r="E6" s="33" t="s">
        <v>305</v>
      </c>
      <c r="F6" s="178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48.75" customHeight="1">
      <c r="A7" s="253" t="s">
        <v>4</v>
      </c>
      <c r="B7" s="34" t="s">
        <v>17</v>
      </c>
      <c r="C7" s="35" t="s">
        <v>306</v>
      </c>
      <c r="D7" s="36">
        <f>'4. 5기 수입상세 및 인원변동'!E18</f>
        <v>7340000</v>
      </c>
      <c r="E7" s="37">
        <f t="shared" ref="E7:E16" si="0">D7/D$17</f>
        <v>0.17807714578533004</v>
      </c>
      <c r="F7" s="38" t="s">
        <v>307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48.75" customHeight="1">
      <c r="A8" s="250"/>
      <c r="B8" s="34" t="s">
        <v>251</v>
      </c>
      <c r="C8" s="35" t="s">
        <v>306</v>
      </c>
      <c r="D8" s="36">
        <f>'4. 5기 수입상세 및 인원변동'!F18</f>
        <v>7525000</v>
      </c>
      <c r="E8" s="37">
        <f t="shared" si="0"/>
        <v>0.18256546621724912</v>
      </c>
      <c r="F8" s="39" t="s">
        <v>308</v>
      </c>
      <c r="G8" s="40"/>
      <c r="H8" s="41"/>
      <c r="I8" s="41"/>
      <c r="J8" s="41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28.5" customHeight="1">
      <c r="A9" s="250"/>
      <c r="B9" s="34" t="s">
        <v>15</v>
      </c>
      <c r="C9" s="42" t="s">
        <v>309</v>
      </c>
      <c r="D9" s="36">
        <f>23031391-D16</f>
        <v>13031391</v>
      </c>
      <c r="E9" s="37">
        <f t="shared" si="0"/>
        <v>0.31615707287365635</v>
      </c>
      <c r="F9" s="39" t="s">
        <v>310</v>
      </c>
      <c r="G9" s="40"/>
      <c r="H9" s="41"/>
      <c r="I9" s="41"/>
      <c r="J9" s="41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28.5" customHeight="1">
      <c r="A10" s="250"/>
      <c r="B10" s="255" t="s">
        <v>311</v>
      </c>
      <c r="C10" s="248"/>
      <c r="D10" s="43">
        <f>SUM(D7:D9)</f>
        <v>27896391</v>
      </c>
      <c r="E10" s="44">
        <f t="shared" si="0"/>
        <v>0.67679968487623554</v>
      </c>
      <c r="F10" s="45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28.5" customHeight="1">
      <c r="A11" s="250"/>
      <c r="B11" s="249" t="s">
        <v>312</v>
      </c>
      <c r="C11" s="35" t="s">
        <v>234</v>
      </c>
      <c r="D11" s="36">
        <f>'4. 5기 수입상세 및 인원변동'!G20</f>
        <v>3308400</v>
      </c>
      <c r="E11" s="37">
        <f t="shared" si="0"/>
        <v>8.0265726037627508E-2</v>
      </c>
      <c r="F11" s="38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28.5" customHeight="1">
      <c r="A12" s="250"/>
      <c r="B12" s="250"/>
      <c r="C12" s="35" t="s">
        <v>313</v>
      </c>
      <c r="D12" s="36"/>
      <c r="E12" s="37">
        <f t="shared" si="0"/>
        <v>0</v>
      </c>
      <c r="F12" s="38"/>
      <c r="G12" s="29"/>
      <c r="H12" s="29"/>
      <c r="I12" s="29"/>
      <c r="J12" s="29"/>
      <c r="K12" s="46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28.5" customHeight="1">
      <c r="A13" s="250"/>
      <c r="B13" s="250"/>
      <c r="C13" s="35" t="s">
        <v>162</v>
      </c>
      <c r="D13" s="36">
        <f>'4. 5기 수입상세 및 인원변동'!G22</f>
        <v>13300</v>
      </c>
      <c r="E13" s="37">
        <f t="shared" si="0"/>
        <v>3.226738472676961E-4</v>
      </c>
      <c r="F13" s="36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28.5" customHeight="1">
      <c r="A14" s="250"/>
      <c r="B14" s="178"/>
      <c r="C14" s="47" t="s">
        <v>314</v>
      </c>
      <c r="D14" s="43">
        <f>SUM(D11:D13)</f>
        <v>3321700</v>
      </c>
      <c r="E14" s="44">
        <f t="shared" si="0"/>
        <v>8.0588399884895204E-2</v>
      </c>
      <c r="F14" s="45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28.5" customHeight="1">
      <c r="A15" s="250"/>
      <c r="B15" s="249" t="s">
        <v>260</v>
      </c>
      <c r="C15" s="42" t="s">
        <v>260</v>
      </c>
      <c r="D15" s="48">
        <v>10000000</v>
      </c>
      <c r="E15" s="37">
        <f t="shared" si="0"/>
        <v>0.24261191523886927</v>
      </c>
      <c r="F15" s="39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28.5" customHeight="1">
      <c r="A16" s="178"/>
      <c r="B16" s="178"/>
      <c r="C16" s="47" t="s">
        <v>314</v>
      </c>
      <c r="D16" s="43">
        <f>SUM(D15)</f>
        <v>10000000</v>
      </c>
      <c r="E16" s="44">
        <f t="shared" si="0"/>
        <v>0.24261191523886927</v>
      </c>
      <c r="F16" s="45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28.5" customHeight="1">
      <c r="A17" s="254" t="s">
        <v>315</v>
      </c>
      <c r="B17" s="252"/>
      <c r="C17" s="248"/>
      <c r="D17" s="49">
        <f>D16+D14+D10</f>
        <v>41218091</v>
      </c>
      <c r="E17" s="50">
        <f>E10+E14+E16</f>
        <v>1</v>
      </c>
      <c r="F17" s="51"/>
      <c r="G17" s="52"/>
      <c r="H17" s="52"/>
      <c r="I17" s="53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1:26" ht="16.5" customHeight="1">
      <c r="A18" s="30"/>
      <c r="B18" s="54"/>
      <c r="C18" s="30"/>
      <c r="D18" s="30"/>
      <c r="E18" s="55"/>
      <c r="F18" s="30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6.5" customHeight="1">
      <c r="A19" s="30"/>
      <c r="B19" s="30"/>
      <c r="C19" s="30"/>
      <c r="D19" s="30"/>
      <c r="E19" s="30"/>
      <c r="F19" s="30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6.5" customHeight="1">
      <c r="A20" s="31" t="s">
        <v>316</v>
      </c>
      <c r="B20" s="56"/>
      <c r="C20" s="56"/>
      <c r="D20" s="57"/>
      <c r="E20" s="57"/>
      <c r="F20" s="56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6.5" customHeight="1">
      <c r="A21" s="247" t="s">
        <v>298</v>
      </c>
      <c r="B21" s="252"/>
      <c r="C21" s="248"/>
      <c r="D21" s="256" t="s">
        <v>317</v>
      </c>
      <c r="E21" s="248"/>
      <c r="F21" s="247" t="s">
        <v>300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6.5" customHeight="1">
      <c r="A22" s="33" t="s">
        <v>301</v>
      </c>
      <c r="B22" s="33" t="s">
        <v>302</v>
      </c>
      <c r="C22" s="33" t="s">
        <v>303</v>
      </c>
      <c r="D22" s="58" t="s">
        <v>304</v>
      </c>
      <c r="E22" s="58" t="s">
        <v>305</v>
      </c>
      <c r="F22" s="178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6.5" customHeight="1">
      <c r="A23" s="251" t="s">
        <v>49</v>
      </c>
      <c r="B23" s="34" t="s">
        <v>49</v>
      </c>
      <c r="C23" s="35" t="s">
        <v>49</v>
      </c>
      <c r="D23" s="59">
        <f>3300000</f>
        <v>3300000</v>
      </c>
      <c r="E23" s="60">
        <f>D23/D$59</f>
        <v>8.006193202882686E-2</v>
      </c>
      <c r="F23" s="61" t="s">
        <v>318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28.5" customHeight="1">
      <c r="A24" s="178"/>
      <c r="B24" s="254" t="s">
        <v>319</v>
      </c>
      <c r="C24" s="248"/>
      <c r="D24" s="62">
        <f>D23</f>
        <v>3300000</v>
      </c>
      <c r="E24" s="50">
        <f>SUM(E23)</f>
        <v>8.006193202882686E-2</v>
      </c>
      <c r="F24" s="51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ht="48.75" customHeight="1">
      <c r="A25" s="251" t="s">
        <v>265</v>
      </c>
      <c r="B25" s="249" t="s">
        <v>266</v>
      </c>
      <c r="C25" s="35" t="s">
        <v>247</v>
      </c>
      <c r="D25" s="59">
        <f>214200*3*3</f>
        <v>1927800</v>
      </c>
      <c r="E25" s="60">
        <f>D25/D$59</f>
        <v>4.6770725019749215E-2</v>
      </c>
      <c r="F25" s="61" t="s">
        <v>320</v>
      </c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28.5" customHeight="1">
      <c r="A26" s="250"/>
      <c r="B26" s="178"/>
      <c r="C26" s="47" t="s">
        <v>321</v>
      </c>
      <c r="D26" s="63">
        <f>SUM(D25)</f>
        <v>1927800</v>
      </c>
      <c r="E26" s="64">
        <f>SUM(E25)</f>
        <v>4.6770725019749215E-2</v>
      </c>
      <c r="F26" s="45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28.5" customHeight="1">
      <c r="A27" s="250"/>
      <c r="B27" s="249" t="s">
        <v>267</v>
      </c>
      <c r="C27" s="35" t="s">
        <v>104</v>
      </c>
      <c r="D27" s="59">
        <f>5000*9*12</f>
        <v>540000</v>
      </c>
      <c r="E27" s="60">
        <f t="shared" ref="E27:E32" si="1">D27/D$59</f>
        <v>1.310104342289894E-2</v>
      </c>
      <c r="F27" s="61" t="s">
        <v>322</v>
      </c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28.5" customHeight="1">
      <c r="A28" s="250"/>
      <c r="B28" s="250"/>
      <c r="C28" s="35" t="s">
        <v>255</v>
      </c>
      <c r="D28" s="59">
        <v>1000000</v>
      </c>
      <c r="E28" s="60">
        <f t="shared" si="1"/>
        <v>2.4261191523886925E-2</v>
      </c>
      <c r="F28" s="65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28.5" customHeight="1">
      <c r="A29" s="250"/>
      <c r="B29" s="250"/>
      <c r="C29" s="35" t="s">
        <v>244</v>
      </c>
      <c r="D29" s="59">
        <f>50000*8</f>
        <v>400000</v>
      </c>
      <c r="E29" s="60">
        <f t="shared" si="1"/>
        <v>9.7044766095547713E-3</v>
      </c>
      <c r="F29" s="61" t="s">
        <v>323</v>
      </c>
      <c r="G29" s="258"/>
      <c r="H29" s="180"/>
      <c r="I29" s="180"/>
      <c r="J29" s="180"/>
      <c r="K29" s="180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1:26" ht="28.5" customHeight="1">
      <c r="A30" s="250"/>
      <c r="B30" s="250"/>
      <c r="C30" s="35" t="s">
        <v>223</v>
      </c>
      <c r="D30" s="59">
        <f>50000*4</f>
        <v>200000</v>
      </c>
      <c r="E30" s="60">
        <f t="shared" si="1"/>
        <v>4.8522383047773857E-3</v>
      </c>
      <c r="F30" s="61" t="s">
        <v>324</v>
      </c>
      <c r="G30" s="258"/>
      <c r="H30" s="180"/>
      <c r="I30" s="180"/>
      <c r="J30" s="180"/>
      <c r="K30" s="180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 ht="28.5" customHeight="1">
      <c r="A31" s="250"/>
      <c r="B31" s="250"/>
      <c r="C31" s="35" t="s">
        <v>243</v>
      </c>
      <c r="D31" s="59">
        <v>200000</v>
      </c>
      <c r="E31" s="60">
        <f t="shared" si="1"/>
        <v>4.8522383047773857E-3</v>
      </c>
      <c r="F31" s="61" t="s">
        <v>324</v>
      </c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28.5" customHeight="1">
      <c r="A32" s="250"/>
      <c r="B32" s="250"/>
      <c r="C32" s="35" t="s">
        <v>220</v>
      </c>
      <c r="D32" s="59">
        <v>200000</v>
      </c>
      <c r="E32" s="60">
        <f t="shared" si="1"/>
        <v>4.8522383047773857E-3</v>
      </c>
      <c r="F32" s="61" t="s">
        <v>324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28.5" customHeight="1">
      <c r="A33" s="250"/>
      <c r="B33" s="178"/>
      <c r="C33" s="47" t="s">
        <v>325</v>
      </c>
      <c r="D33" s="63">
        <f>SUM(D27:D32)</f>
        <v>2540000</v>
      </c>
      <c r="E33" s="64">
        <f>SUM(E27:E32)</f>
        <v>6.1623426470672794E-2</v>
      </c>
      <c r="F33" s="45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28.5" customHeight="1">
      <c r="A34" s="250"/>
      <c r="B34" s="249" t="s">
        <v>268</v>
      </c>
      <c r="C34" s="35" t="s">
        <v>257</v>
      </c>
      <c r="D34" s="59">
        <v>0</v>
      </c>
      <c r="E34" s="60">
        <f>D34/D$59</f>
        <v>0</v>
      </c>
      <c r="F34" s="65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28.5" customHeight="1">
      <c r="A35" s="178"/>
      <c r="B35" s="178"/>
      <c r="C35" s="47" t="s">
        <v>321</v>
      </c>
      <c r="D35" s="63">
        <f>D34</f>
        <v>0</v>
      </c>
      <c r="E35" s="64">
        <f>SUM(E34)</f>
        <v>0</v>
      </c>
      <c r="F35" s="45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28.5" customHeight="1">
      <c r="A36" s="254" t="s">
        <v>326</v>
      </c>
      <c r="B36" s="252"/>
      <c r="C36" s="248"/>
      <c r="D36" s="62">
        <f>D26+D33+D35</f>
        <v>4467800</v>
      </c>
      <c r="E36" s="50">
        <f>D36/D$59</f>
        <v>0.108394151490422</v>
      </c>
      <c r="F36" s="51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ht="28.5" customHeight="1">
      <c r="A37" s="251" t="s">
        <v>269</v>
      </c>
      <c r="B37" s="249" t="s">
        <v>270</v>
      </c>
      <c r="C37" s="35" t="s">
        <v>59</v>
      </c>
      <c r="D37" s="59">
        <f>300000*12</f>
        <v>3600000</v>
      </c>
      <c r="E37" s="60">
        <f>D37/D$59</f>
        <v>8.7340289485992928E-2</v>
      </c>
      <c r="F37" s="65" t="s">
        <v>327</v>
      </c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21.75" customHeight="1">
      <c r="A38" s="250"/>
      <c r="B38" s="178"/>
      <c r="C38" s="47" t="s">
        <v>321</v>
      </c>
      <c r="D38" s="63">
        <f>SUM(D37)</f>
        <v>3600000</v>
      </c>
      <c r="E38" s="64">
        <f>SUM(E37)</f>
        <v>8.7340289485992928E-2</v>
      </c>
      <c r="F38" s="45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22.5" customHeight="1">
      <c r="A39" s="250"/>
      <c r="B39" s="249" t="s">
        <v>271</v>
      </c>
      <c r="C39" s="35" t="s">
        <v>56</v>
      </c>
      <c r="D39" s="59">
        <v>8000000</v>
      </c>
      <c r="E39" s="60">
        <f t="shared" ref="E39:E58" si="2">D39/D$59</f>
        <v>0.1940895321910954</v>
      </c>
      <c r="F39" s="61" t="s">
        <v>328</v>
      </c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22.5" customHeight="1">
      <c r="A40" s="250"/>
      <c r="B40" s="250"/>
      <c r="C40" s="35" t="s">
        <v>259</v>
      </c>
      <c r="D40" s="59">
        <v>300000</v>
      </c>
      <c r="E40" s="60">
        <f t="shared" si="2"/>
        <v>7.2783574571660776E-3</v>
      </c>
      <c r="F40" s="61" t="s">
        <v>329</v>
      </c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22.5" customHeight="1">
      <c r="A41" s="250"/>
      <c r="B41" s="250"/>
      <c r="C41" s="35" t="s">
        <v>261</v>
      </c>
      <c r="D41" s="59">
        <f>20000*200</f>
        <v>4000000</v>
      </c>
      <c r="E41" s="60">
        <f t="shared" si="2"/>
        <v>9.7044766095547699E-2</v>
      </c>
      <c r="F41" s="61" t="s">
        <v>330</v>
      </c>
      <c r="G41" s="40"/>
      <c r="H41" s="40"/>
      <c r="I41" s="67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22.5" customHeight="1">
      <c r="A42" s="250"/>
      <c r="B42" s="250"/>
      <c r="C42" s="35" t="s">
        <v>253</v>
      </c>
      <c r="D42" s="59">
        <f>50000*46</f>
        <v>2300000</v>
      </c>
      <c r="E42" s="60">
        <f t="shared" si="2"/>
        <v>5.5800740504939932E-2</v>
      </c>
      <c r="F42" s="65" t="s">
        <v>331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22.5" customHeight="1">
      <c r="A43" s="250"/>
      <c r="B43" s="250"/>
      <c r="C43" s="35" t="s">
        <v>256</v>
      </c>
      <c r="D43" s="59">
        <f>15000*196-2940000</f>
        <v>0</v>
      </c>
      <c r="E43" s="60">
        <f t="shared" si="2"/>
        <v>0</v>
      </c>
      <c r="F43" s="61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28.5" customHeight="1">
      <c r="A44" s="250"/>
      <c r="B44" s="178"/>
      <c r="C44" s="47" t="s">
        <v>321</v>
      </c>
      <c r="D44" s="63">
        <f>SUM(D39:D43)</f>
        <v>14600000</v>
      </c>
      <c r="E44" s="64">
        <f t="shared" si="2"/>
        <v>0.35421339624874915</v>
      </c>
      <c r="F44" s="45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28.5" customHeight="1">
      <c r="A45" s="250"/>
      <c r="B45" s="249" t="s">
        <v>272</v>
      </c>
      <c r="C45" s="35" t="s">
        <v>249</v>
      </c>
      <c r="D45" s="59">
        <v>600000</v>
      </c>
      <c r="E45" s="60">
        <f t="shared" si="2"/>
        <v>1.4556714914332155E-2</v>
      </c>
      <c r="F45" s="61" t="s">
        <v>332</v>
      </c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28.5" customHeight="1">
      <c r="A46" s="250"/>
      <c r="B46" s="178"/>
      <c r="C46" s="47" t="s">
        <v>321</v>
      </c>
      <c r="D46" s="63">
        <f>SUM(D45)</f>
        <v>600000</v>
      </c>
      <c r="E46" s="64">
        <f t="shared" si="2"/>
        <v>1.4556714914332155E-2</v>
      </c>
      <c r="F46" s="45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28.5" customHeight="1">
      <c r="A47" s="250"/>
      <c r="B47" s="249" t="s">
        <v>273</v>
      </c>
      <c r="C47" s="35" t="s">
        <v>248</v>
      </c>
      <c r="D47" s="59">
        <v>300000</v>
      </c>
      <c r="E47" s="60">
        <f t="shared" si="2"/>
        <v>7.2783574571660776E-3</v>
      </c>
      <c r="F47" s="61" t="s">
        <v>333</v>
      </c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28.5" customHeight="1">
      <c r="A48" s="250"/>
      <c r="B48" s="178"/>
      <c r="C48" s="47" t="s">
        <v>321</v>
      </c>
      <c r="D48" s="63">
        <f>SUM(D47)</f>
        <v>300000</v>
      </c>
      <c r="E48" s="64">
        <f t="shared" si="2"/>
        <v>7.2783574571660776E-3</v>
      </c>
      <c r="F48" s="45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27" customHeight="1">
      <c r="A49" s="250"/>
      <c r="B49" s="249" t="s">
        <v>274</v>
      </c>
      <c r="C49" s="35" t="s">
        <v>252</v>
      </c>
      <c r="D49" s="59">
        <f>100000*5</f>
        <v>500000</v>
      </c>
      <c r="E49" s="60">
        <f t="shared" si="2"/>
        <v>1.2130595761943462E-2</v>
      </c>
      <c r="F49" s="61" t="s">
        <v>334</v>
      </c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27" customHeight="1">
      <c r="A50" s="250"/>
      <c r="B50" s="250"/>
      <c r="C50" s="35" t="s">
        <v>335</v>
      </c>
      <c r="D50" s="59">
        <f>800000-400000</f>
        <v>400000</v>
      </c>
      <c r="E50" s="60">
        <f t="shared" si="2"/>
        <v>9.7044766095547713E-3</v>
      </c>
      <c r="F50" s="61" t="s">
        <v>336</v>
      </c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28.5" customHeight="1">
      <c r="A51" s="178"/>
      <c r="B51" s="178"/>
      <c r="C51" s="47" t="s">
        <v>321</v>
      </c>
      <c r="D51" s="63">
        <f>SUM(D49:D50)</f>
        <v>900000</v>
      </c>
      <c r="E51" s="64">
        <f t="shared" si="2"/>
        <v>2.1835072371498232E-2</v>
      </c>
      <c r="F51" s="45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28.5" customHeight="1">
      <c r="A52" s="254" t="s">
        <v>337</v>
      </c>
      <c r="B52" s="252"/>
      <c r="C52" s="248"/>
      <c r="D52" s="62">
        <f>D38+D44+D46+D48+D51</f>
        <v>20000000</v>
      </c>
      <c r="E52" s="50">
        <f t="shared" si="2"/>
        <v>0.48522383047773854</v>
      </c>
      <c r="F52" s="51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 ht="28.5" customHeight="1">
      <c r="A53" s="68"/>
      <c r="B53" s="34" t="s">
        <v>19</v>
      </c>
      <c r="C53" s="69"/>
      <c r="D53" s="59"/>
      <c r="E53" s="60">
        <f t="shared" si="2"/>
        <v>0</v>
      </c>
      <c r="F53" s="65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28.5" customHeight="1">
      <c r="A54" s="254" t="s">
        <v>338</v>
      </c>
      <c r="B54" s="252"/>
      <c r="C54" s="248"/>
      <c r="D54" s="62">
        <f>SUM(D53)</f>
        <v>0</v>
      </c>
      <c r="E54" s="50">
        <f t="shared" si="2"/>
        <v>0</v>
      </c>
      <c r="F54" s="51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spans="1:26" ht="28.5" customHeight="1">
      <c r="A55" s="70"/>
      <c r="B55" s="34" t="s">
        <v>260</v>
      </c>
      <c r="C55" s="69" t="s">
        <v>260</v>
      </c>
      <c r="D55" s="71">
        <v>10000000</v>
      </c>
      <c r="E55" s="60">
        <f t="shared" si="2"/>
        <v>0.24261191523886927</v>
      </c>
      <c r="F55" s="7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1:26" ht="28.5" customHeight="1">
      <c r="A56" s="70" t="s">
        <v>339</v>
      </c>
      <c r="B56" s="254" t="s">
        <v>340</v>
      </c>
      <c r="C56" s="248"/>
      <c r="D56" s="49">
        <v>10000000</v>
      </c>
      <c r="E56" s="50">
        <f t="shared" si="2"/>
        <v>0.24261191523886927</v>
      </c>
      <c r="F56" s="51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spans="1:26" ht="28.5" customHeight="1">
      <c r="A57" s="68"/>
      <c r="B57" s="34" t="s">
        <v>262</v>
      </c>
      <c r="C57" s="69" t="s">
        <v>262</v>
      </c>
      <c r="D57" s="71">
        <f>D17-D24-D36-D52-D54-D56</f>
        <v>3450291</v>
      </c>
      <c r="E57" s="60">
        <f t="shared" si="2"/>
        <v>8.3708170764143344E-2</v>
      </c>
      <c r="F57" s="61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28.5" customHeight="1">
      <c r="A58" s="254" t="s">
        <v>339</v>
      </c>
      <c r="B58" s="252"/>
      <c r="C58" s="248"/>
      <c r="D58" s="49">
        <f>D57</f>
        <v>3450291</v>
      </c>
      <c r="E58" s="50">
        <f t="shared" si="2"/>
        <v>8.3708170764143344E-2</v>
      </c>
      <c r="F58" s="51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1:26" ht="28.5" customHeight="1">
      <c r="A59" s="257" t="s">
        <v>341</v>
      </c>
      <c r="B59" s="252"/>
      <c r="C59" s="248"/>
      <c r="D59" s="73">
        <f>D24+D36+D52+D54+D58+D56</f>
        <v>41218091</v>
      </c>
      <c r="E59" s="74">
        <f>SUM(E58+E54+E52+E36+E24+E56)</f>
        <v>1</v>
      </c>
      <c r="F59" s="7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spans="1:26" ht="16.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6.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6.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6.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6.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6.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6.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6.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6.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6.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6.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6.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6.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6.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6.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6.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6.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6.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6.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6.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6.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6.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6.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6.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6.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6.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6.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6.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6.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6.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6.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6.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6.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6.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6.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6.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6.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6.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6.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6.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6.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6.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6.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6.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6.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6.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6.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6.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6.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6.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6.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6.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6.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6.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6.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6.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6.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6.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6.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6.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6.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6.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6.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6.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6.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6.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6.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6.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6.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6.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6.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6.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6.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6.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6.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6.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6.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6.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6.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6.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6.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6.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6.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6.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6.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6.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6.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6.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6.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6.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6.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6.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6.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6.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6.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6.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6.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6.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6.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6.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6.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6.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6.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6.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6.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6.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6.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6.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6.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6.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6.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6.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6.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6.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6.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6.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6.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6.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6.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6.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6.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6.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6.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6.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6.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6.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6.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6.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6.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6.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6.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6.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6.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6.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6.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6.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6.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6.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6.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6.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6.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6.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6.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6.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6.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6.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6.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6.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6.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6.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6.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6.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6.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6.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6.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6.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6.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6.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6.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6.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6.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6.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6.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6.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6.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6.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6.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6.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6.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6.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6.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6.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6.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6.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6.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6.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6.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6.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6.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6.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6.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6.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6.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6.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6.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6.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6.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6.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6.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6.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6.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6.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6.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6.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6.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6.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6.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6.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6.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6.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6.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6.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6.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6.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6.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6.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6.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6.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6.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6.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6.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6.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6.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6.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6.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6.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6.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6.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6.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6.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6.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6.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6.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6.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6.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6.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6.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6.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6.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6.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6.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6.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6.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6.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6.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6.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6.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6.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6.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6.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6.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6.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6.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6.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6.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6.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6.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6.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6.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6.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6.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6.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6.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6.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6.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6.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6.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6.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6.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6.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6.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6.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6.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6.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6.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6.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6.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6.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6.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6.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6.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6.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6.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6.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6.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6.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6.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6.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6.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6.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6.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6.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6.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6.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6.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6.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6.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6.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6.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6.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6.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6.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6.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6.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6.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6.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6.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6.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6.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6.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6.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6.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6.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6.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6.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6.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6.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6.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6.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6.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6.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6.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6.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6.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6.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6.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6.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6.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6.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6.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6.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6.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6.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6.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6.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6.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6.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6.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6.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6.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6.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6.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6.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6.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6.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6.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6.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6.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6.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6.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6.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6.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6.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6.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6.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6.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6.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6.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6.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6.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6.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6.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6.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6.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6.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6.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6.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6.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6.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6.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6.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6.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6.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6.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6.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6.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6.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6.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6.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6.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6.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6.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6.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6.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6.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6.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6.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6.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6.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6.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6.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6.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6.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6.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6.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6.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6.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6.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6.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6.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6.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6.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6.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6.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6.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6.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6.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6.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6.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6.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6.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6.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6.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6.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6.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6.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6.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6.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6.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6.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6.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6.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6.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6.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6.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6.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6.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6.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6.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6.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6.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6.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6.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6.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6.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6.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6.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6.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6.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6.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6.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6.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6.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6.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6.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6.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6.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6.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6.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6.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6.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6.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6.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6.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6.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6.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6.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6.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6.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6.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6.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6.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6.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6.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6.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6.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6.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6.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6.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6.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6.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6.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6.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6.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6.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6.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6.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6.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6.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6.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6.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6.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6.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6.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6.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6.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6.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6.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6.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6.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6.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6.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6.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6.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6.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6.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6.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6.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6.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6.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6.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6.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6.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6.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6.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6.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6.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6.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6.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6.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6.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6.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6.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6.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6.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6.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6.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6.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6.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6.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6.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6.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6.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6.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6.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6.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6.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6.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6.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6.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6.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6.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6.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6.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6.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6.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6.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6.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6.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6.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6.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6.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6.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6.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6.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6.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6.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6.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6.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6.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6.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6.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6.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6.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6.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6.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6.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6.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6.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6.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6.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6.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6.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6.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6.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6.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6.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6.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6.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6.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6.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6.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6.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6.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6.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6.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6.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6.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6.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6.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6.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6.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6.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6.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6.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6.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6.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6.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6.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6.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6.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6.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6.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6.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6.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6.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6.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6.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6.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6.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6.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6.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6.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6.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6.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6.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6.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6.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6.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6.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6.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6.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6.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6.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6.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6.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6.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6.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6.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6.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6.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6.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6.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6.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6.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6.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6.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6.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6.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6.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6.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6.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6.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6.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6.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6.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6.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6.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6.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6.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6.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6.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6.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6.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6.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6.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6.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6.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6.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6.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6.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6.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6.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6.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6.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6.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6.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6.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6.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6.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6.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6.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6.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6.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6.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6.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6.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6.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6.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6.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6.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6.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6.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6.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6.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6.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6.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6.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6.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6.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6.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6.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6.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6.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6.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6.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6.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6.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6.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6.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6.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6.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6.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6.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6.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6.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6.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6.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6.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6.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6.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6.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6.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6.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6.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6.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6.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6.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6.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6.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6.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6.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6.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6.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6.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6.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6.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6.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6.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6.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6.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6.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6.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6.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6.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6.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6.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6.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6.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6.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6.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6.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6.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6.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6.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6.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6.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6.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6.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6.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6.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6.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6.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6.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6.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6.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6.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6.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6.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6.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6.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6.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6.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6.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6.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6.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6.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6.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6.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6.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6.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6.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6.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6.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6.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6.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6.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6.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6.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6.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6.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6.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6.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6.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6.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6.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6.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6.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6.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6.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6.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6.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6.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6.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6.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6.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6.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6.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6.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6.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6.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6.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6.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6.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6.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6.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6.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6.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6.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6.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6.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6.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6.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6.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6.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6.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6.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6.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6.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6.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6.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6.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6.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6.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6.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6.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6.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6.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6.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6.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6.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6.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6.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6.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6.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6.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6.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6.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6.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6.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6.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6.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6.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6.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6.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6.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6.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6.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6.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6.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6.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6.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6.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6.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6.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6.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6.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6.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6.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6.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6.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6.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6.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6.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6.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6.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6.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6.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6.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6.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6.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6.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6.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6.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6.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6.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6.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6.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6.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6.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6.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6.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6.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6.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6.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6.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6.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6.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6.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6.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6.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6.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6.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6.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6.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6.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6.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6.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6.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6.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6.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6.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6.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6.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6.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6.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6.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6.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6.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6.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6.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6.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6.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6.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6.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6.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6.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6.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6.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6.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6.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6.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6.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6.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6.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6.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6.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6.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6.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6.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6.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6.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6.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6.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6.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6.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6.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6.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16.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16.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16.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16.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16.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16.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16.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16.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16.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16.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16.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16.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16.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16.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16.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16.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16.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16.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16.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16.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16.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16.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ht="16.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31">
    <mergeCell ref="A59:C59"/>
    <mergeCell ref="B45:B46"/>
    <mergeCell ref="B24:C24"/>
    <mergeCell ref="A36:C36"/>
    <mergeCell ref="G29:K29"/>
    <mergeCell ref="B25:B26"/>
    <mergeCell ref="B27:B33"/>
    <mergeCell ref="A54:C54"/>
    <mergeCell ref="G30:K30"/>
    <mergeCell ref="A58:C58"/>
    <mergeCell ref="B10:C10"/>
    <mergeCell ref="A23:A24"/>
    <mergeCell ref="F5:F6"/>
    <mergeCell ref="B56:C56"/>
    <mergeCell ref="D21:E21"/>
    <mergeCell ref="F21:F22"/>
    <mergeCell ref="A5:C5"/>
    <mergeCell ref="B39:B44"/>
    <mergeCell ref="A17:C17"/>
    <mergeCell ref="B34:B35"/>
    <mergeCell ref="A37:A51"/>
    <mergeCell ref="B37:B38"/>
    <mergeCell ref="B15:B16"/>
    <mergeCell ref="A52:C52"/>
    <mergeCell ref="D5:E5"/>
    <mergeCell ref="B47:B48"/>
    <mergeCell ref="B49:B51"/>
    <mergeCell ref="A25:A35"/>
    <mergeCell ref="A21:C21"/>
    <mergeCell ref="B11:B14"/>
    <mergeCell ref="A7:A16"/>
  </mergeCells>
  <phoneticPr fontId="34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81"/>
  <sheetViews>
    <sheetView tabSelected="1" topLeftCell="A125" workbookViewId="0">
      <selection activeCell="I148" sqref="I148"/>
    </sheetView>
  </sheetViews>
  <sheetFormatPr defaultColWidth="14.42578125" defaultRowHeight="15"/>
  <cols>
    <col min="1" max="1" width="17.5703125" style="158" customWidth="1"/>
    <col min="2" max="2" width="18.140625" style="158" customWidth="1"/>
    <col min="3" max="3" width="17.5703125" style="158" customWidth="1"/>
    <col min="4" max="4" width="15.140625" style="158" customWidth="1"/>
    <col min="5" max="5" width="17.5703125" style="158" customWidth="1"/>
    <col min="6" max="7" width="13.85546875" style="158" customWidth="1"/>
    <col min="8" max="8" width="65.140625" style="158" customWidth="1"/>
    <col min="9" max="9" width="14.140625" style="158" customWidth="1"/>
    <col min="10" max="10" width="10.85546875" style="158" customWidth="1"/>
    <col min="11" max="11" width="14" style="158" customWidth="1"/>
    <col min="12" max="12" width="19.42578125" style="158" customWidth="1"/>
    <col min="13" max="13" width="15.42578125" style="158" customWidth="1"/>
    <col min="14" max="14" width="9.28515625" style="158" customWidth="1"/>
    <col min="15" max="15" width="8.7109375" style="158" customWidth="1"/>
    <col min="16" max="16" width="33.85546875" style="158" customWidth="1"/>
    <col min="17" max="26" width="8.7109375" style="158" customWidth="1"/>
  </cols>
  <sheetData>
    <row r="1" spans="1:14" ht="16.5" customHeight="1">
      <c r="A1" s="262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</row>
    <row r="2" spans="1:14" ht="16.5" customHeight="1">
      <c r="A2" s="180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</row>
    <row r="3" spans="1:14" ht="3.75" customHeight="1">
      <c r="D3" s="75"/>
      <c r="E3" s="75"/>
      <c r="F3" s="75"/>
      <c r="G3" s="75"/>
      <c r="L3" s="76"/>
      <c r="N3" s="77"/>
    </row>
    <row r="4" spans="1:14" ht="27.75" customHeight="1">
      <c r="A4" s="155" t="s">
        <v>1</v>
      </c>
      <c r="B4" s="156" t="s">
        <v>2</v>
      </c>
      <c r="C4" s="156" t="s">
        <v>3</v>
      </c>
      <c r="D4" s="157" t="s">
        <v>4</v>
      </c>
      <c r="E4" s="157" t="s">
        <v>5</v>
      </c>
      <c r="F4" s="157" t="s">
        <v>6</v>
      </c>
      <c r="G4" s="157" t="s">
        <v>7</v>
      </c>
      <c r="H4" s="156" t="s">
        <v>8</v>
      </c>
      <c r="I4" s="156" t="s">
        <v>9</v>
      </c>
      <c r="J4" s="157" t="s">
        <v>10</v>
      </c>
      <c r="K4" s="157" t="s">
        <v>11</v>
      </c>
      <c r="L4" s="157" t="s">
        <v>12</v>
      </c>
      <c r="M4" s="157" t="s">
        <v>13</v>
      </c>
      <c r="N4" s="78" t="s">
        <v>14</v>
      </c>
    </row>
    <row r="5" spans="1:14" ht="16.5" customHeight="1">
      <c r="A5" s="120">
        <v>46073</v>
      </c>
      <c r="B5" s="79" t="s">
        <v>4</v>
      </c>
      <c r="C5" s="80" t="s">
        <v>15</v>
      </c>
      <c r="D5" s="81">
        <v>23031391</v>
      </c>
      <c r="E5" s="81"/>
      <c r="F5" s="81"/>
      <c r="G5" s="82">
        <f>Table_1[[#This Row],[수입]]</f>
        <v>23031391</v>
      </c>
      <c r="H5" s="83" t="s">
        <v>16</v>
      </c>
      <c r="I5" s="84"/>
      <c r="J5" s="80"/>
      <c r="K5" s="80"/>
      <c r="L5" s="84"/>
      <c r="M5" s="80"/>
      <c r="N5" s="77"/>
    </row>
    <row r="6" spans="1:14" ht="16.5" customHeight="1">
      <c r="A6" s="119">
        <v>46073</v>
      </c>
      <c r="B6" s="79" t="s">
        <v>4</v>
      </c>
      <c r="C6" s="80" t="s">
        <v>17</v>
      </c>
      <c r="D6" s="86">
        <v>1850000</v>
      </c>
      <c r="E6" s="81"/>
      <c r="F6" s="81"/>
      <c r="G6" s="82">
        <f>G5+Table_1[[#This Row],[수입]]-Table_1[[#This Row],[지출]]</f>
        <v>24881391</v>
      </c>
      <c r="H6" s="83" t="s">
        <v>18</v>
      </c>
      <c r="I6" s="84"/>
      <c r="J6" s="80"/>
      <c r="K6" s="80"/>
      <c r="L6" s="84"/>
      <c r="M6" s="80"/>
      <c r="N6" s="77"/>
    </row>
    <row r="7" spans="1:14" ht="16.5" customHeight="1">
      <c r="A7" s="119">
        <v>46077</v>
      </c>
      <c r="B7" s="79" t="s">
        <v>19</v>
      </c>
      <c r="C7" s="80" t="s">
        <v>20</v>
      </c>
      <c r="D7" s="86"/>
      <c r="E7" s="86">
        <v>60500</v>
      </c>
      <c r="F7" s="86"/>
      <c r="G7" s="82">
        <f>G6+Table_1[[#This Row],[수입]]-Table_1[[#This Row],[지출]]</f>
        <v>24820891</v>
      </c>
      <c r="H7" s="87" t="s">
        <v>21</v>
      </c>
      <c r="I7" s="88" t="s">
        <v>22</v>
      </c>
      <c r="J7" s="79" t="s">
        <v>23</v>
      </c>
      <c r="K7" s="79" t="s">
        <v>24</v>
      </c>
      <c r="L7" s="88" t="s">
        <v>25</v>
      </c>
      <c r="M7" s="89"/>
      <c r="N7" s="77"/>
    </row>
    <row r="8" spans="1:14" ht="16.5" customHeight="1">
      <c r="A8" s="119">
        <v>46077</v>
      </c>
      <c r="B8" s="79" t="s">
        <v>19</v>
      </c>
      <c r="C8" s="80" t="s">
        <v>20</v>
      </c>
      <c r="D8" s="86"/>
      <c r="E8" s="86">
        <v>505800</v>
      </c>
      <c r="F8" s="86"/>
      <c r="G8" s="82">
        <f>G7+Table_1[[#This Row],[수입]]-Table_1[[#This Row],[지출]]</f>
        <v>24315091</v>
      </c>
      <c r="H8" s="87" t="s">
        <v>21</v>
      </c>
      <c r="I8" s="88" t="s">
        <v>22</v>
      </c>
      <c r="J8" s="79" t="s">
        <v>26</v>
      </c>
      <c r="K8" s="79" t="s">
        <v>27</v>
      </c>
      <c r="L8" s="88" t="s">
        <v>28</v>
      </c>
      <c r="M8" s="89"/>
      <c r="N8" s="77"/>
    </row>
    <row r="9" spans="1:14" ht="16.5" customHeight="1">
      <c r="A9" s="119">
        <v>46077</v>
      </c>
      <c r="B9" s="79" t="s">
        <v>19</v>
      </c>
      <c r="C9" s="80" t="s">
        <v>20</v>
      </c>
      <c r="D9" s="86"/>
      <c r="E9" s="86">
        <v>73500</v>
      </c>
      <c r="F9" s="86"/>
      <c r="G9" s="82">
        <f>G8+Table_1[[#This Row],[수입]]-Table_1[[#This Row],[지출]]</f>
        <v>24241591</v>
      </c>
      <c r="H9" s="87" t="s">
        <v>21</v>
      </c>
      <c r="I9" s="88" t="s">
        <v>22</v>
      </c>
      <c r="J9" s="79" t="s">
        <v>29</v>
      </c>
      <c r="K9" s="79" t="s">
        <v>24</v>
      </c>
      <c r="L9" s="88" t="s">
        <v>30</v>
      </c>
      <c r="M9" s="89"/>
      <c r="N9" s="77"/>
    </row>
    <row r="10" spans="1:14" ht="16.5" customHeight="1">
      <c r="A10" s="119">
        <v>46077</v>
      </c>
      <c r="B10" s="79" t="s">
        <v>19</v>
      </c>
      <c r="C10" s="80" t="s">
        <v>20</v>
      </c>
      <c r="D10" s="86"/>
      <c r="E10" s="86">
        <v>523400</v>
      </c>
      <c r="F10" s="86"/>
      <c r="G10" s="82">
        <f>G9+Table_1[[#This Row],[수입]]-Table_1[[#This Row],[지출]]</f>
        <v>23718191</v>
      </c>
      <c r="H10" s="87" t="s">
        <v>21</v>
      </c>
      <c r="I10" s="88" t="s">
        <v>22</v>
      </c>
      <c r="J10" s="79" t="s">
        <v>31</v>
      </c>
      <c r="K10" s="79" t="s">
        <v>32</v>
      </c>
      <c r="L10" s="88" t="s">
        <v>33</v>
      </c>
      <c r="M10" s="89"/>
      <c r="N10" s="77"/>
    </row>
    <row r="11" spans="1:14" ht="16.5" customHeight="1">
      <c r="A11" s="119">
        <v>46077</v>
      </c>
      <c r="B11" s="79" t="s">
        <v>19</v>
      </c>
      <c r="C11" s="80" t="s">
        <v>20</v>
      </c>
      <c r="D11" s="86"/>
      <c r="E11" s="86">
        <v>202900</v>
      </c>
      <c r="F11" s="86"/>
      <c r="G11" s="82">
        <f>G10+Table_1[[#This Row],[수입]]-Table_1[[#This Row],[지출]]</f>
        <v>23515291</v>
      </c>
      <c r="H11" s="87" t="s">
        <v>21</v>
      </c>
      <c r="I11" s="88" t="s">
        <v>22</v>
      </c>
      <c r="J11" s="79" t="s">
        <v>34</v>
      </c>
      <c r="K11" s="79" t="s">
        <v>35</v>
      </c>
      <c r="L11" s="88" t="s">
        <v>36</v>
      </c>
      <c r="M11" s="89"/>
      <c r="N11" s="77"/>
    </row>
    <row r="12" spans="1:14" ht="16.5" customHeight="1">
      <c r="A12" s="119">
        <v>46077</v>
      </c>
      <c r="B12" s="79" t="s">
        <v>19</v>
      </c>
      <c r="C12" s="80" t="s">
        <v>20</v>
      </c>
      <c r="D12" s="86"/>
      <c r="E12" s="86">
        <v>520840</v>
      </c>
      <c r="F12" s="86"/>
      <c r="G12" s="82">
        <f>G11+Table_1[[#This Row],[수입]]-Table_1[[#This Row],[지출]]</f>
        <v>22994451</v>
      </c>
      <c r="H12" s="87" t="s">
        <v>21</v>
      </c>
      <c r="I12" s="88" t="s">
        <v>22</v>
      </c>
      <c r="J12" s="79" t="s">
        <v>37</v>
      </c>
      <c r="K12" s="79" t="s">
        <v>32</v>
      </c>
      <c r="L12" s="88" t="s">
        <v>38</v>
      </c>
      <c r="M12" s="89"/>
      <c r="N12" s="77"/>
    </row>
    <row r="13" spans="1:14" ht="16.5" customHeight="1">
      <c r="A13" s="119">
        <v>46077</v>
      </c>
      <c r="B13" s="79" t="s">
        <v>19</v>
      </c>
      <c r="C13" s="80" t="s">
        <v>20</v>
      </c>
      <c r="D13" s="86"/>
      <c r="E13" s="86">
        <v>30600</v>
      </c>
      <c r="F13" s="86"/>
      <c r="G13" s="82">
        <f>G12+Table_1[[#This Row],[수입]]-Table_1[[#This Row],[지출]]</f>
        <v>22963851</v>
      </c>
      <c r="H13" s="87" t="s">
        <v>21</v>
      </c>
      <c r="I13" s="88" t="s">
        <v>22</v>
      </c>
      <c r="J13" s="79" t="s">
        <v>39</v>
      </c>
      <c r="K13" s="79" t="s">
        <v>32</v>
      </c>
      <c r="L13" s="88" t="s">
        <v>40</v>
      </c>
      <c r="M13" s="89"/>
      <c r="N13" s="77"/>
    </row>
    <row r="14" spans="1:14" ht="16.5" customHeight="1">
      <c r="A14" s="119">
        <v>46077</v>
      </c>
      <c r="B14" s="79" t="s">
        <v>19</v>
      </c>
      <c r="C14" s="80" t="s">
        <v>20</v>
      </c>
      <c r="D14" s="86"/>
      <c r="E14" s="86">
        <v>872200</v>
      </c>
      <c r="F14" s="86"/>
      <c r="G14" s="82">
        <f>G13+Table_1[[#This Row],[수입]]-Table_1[[#This Row],[지출]]</f>
        <v>22091651</v>
      </c>
      <c r="H14" s="87" t="s">
        <v>21</v>
      </c>
      <c r="I14" s="88" t="s">
        <v>22</v>
      </c>
      <c r="J14" s="79" t="s">
        <v>41</v>
      </c>
      <c r="K14" s="79" t="s">
        <v>42</v>
      </c>
      <c r="L14" s="88" t="s">
        <v>43</v>
      </c>
      <c r="M14" s="89"/>
      <c r="N14" s="77"/>
    </row>
    <row r="15" spans="1:14" ht="16.5" customHeight="1">
      <c r="A15" s="119">
        <v>46077</v>
      </c>
      <c r="B15" s="79" t="s">
        <v>19</v>
      </c>
      <c r="C15" s="80" t="s">
        <v>20</v>
      </c>
      <c r="D15" s="86"/>
      <c r="E15" s="86">
        <v>124000</v>
      </c>
      <c r="F15" s="86"/>
      <c r="G15" s="82">
        <f>G14+Table_1[[#This Row],[수입]]-Table_1[[#This Row],[지출]]</f>
        <v>21967651</v>
      </c>
      <c r="H15" s="87" t="s">
        <v>21</v>
      </c>
      <c r="I15" s="88" t="s">
        <v>22</v>
      </c>
      <c r="J15" s="79" t="s">
        <v>44</v>
      </c>
      <c r="K15" s="79" t="s">
        <v>45</v>
      </c>
      <c r="L15" s="88" t="s">
        <v>46</v>
      </c>
      <c r="M15" s="89"/>
      <c r="N15" s="77"/>
    </row>
    <row r="16" spans="1:14" ht="16.5" customHeight="1">
      <c r="A16" s="119">
        <v>46078</v>
      </c>
      <c r="B16" s="79" t="s">
        <v>4</v>
      </c>
      <c r="C16" s="80" t="s">
        <v>17</v>
      </c>
      <c r="D16" s="86">
        <v>1855000</v>
      </c>
      <c r="E16" s="86"/>
      <c r="F16" s="86"/>
      <c r="G16" s="82">
        <f>G15+Table_1[[#This Row],[수입]]-Table_1[[#This Row],[지출]]</f>
        <v>23822651</v>
      </c>
      <c r="H16" s="87" t="s">
        <v>47</v>
      </c>
      <c r="I16" s="90">
        <v>46078</v>
      </c>
      <c r="J16" s="79"/>
      <c r="K16" s="79"/>
      <c r="L16" s="88"/>
      <c r="M16" s="89"/>
      <c r="N16" s="77"/>
    </row>
    <row r="17" spans="1:15" ht="16.5" customHeight="1">
      <c r="A17" s="119">
        <v>46094</v>
      </c>
      <c r="B17" s="79" t="s">
        <v>48</v>
      </c>
      <c r="C17" s="80" t="s">
        <v>49</v>
      </c>
      <c r="D17" s="86"/>
      <c r="E17" s="86">
        <v>100000</v>
      </c>
      <c r="F17" s="86"/>
      <c r="G17" s="82">
        <f>G16+Table_1[[#This Row],[수입]]-Table_1[[#This Row],[지출]]</f>
        <v>23722651</v>
      </c>
      <c r="H17" s="87" t="s">
        <v>50</v>
      </c>
      <c r="I17" s="88" t="s">
        <v>51</v>
      </c>
      <c r="J17" s="79" t="s">
        <v>41</v>
      </c>
      <c r="K17" s="79" t="s">
        <v>32</v>
      </c>
      <c r="L17" s="88" t="s">
        <v>52</v>
      </c>
      <c r="M17" s="89" t="s">
        <v>53</v>
      </c>
      <c r="N17" s="77"/>
    </row>
    <row r="18" spans="1:15" ht="16.5" customHeight="1">
      <c r="A18" s="119">
        <v>46094</v>
      </c>
      <c r="B18" s="79" t="s">
        <v>48</v>
      </c>
      <c r="C18" s="80" t="s">
        <v>49</v>
      </c>
      <c r="D18" s="86"/>
      <c r="E18" s="86">
        <v>100000</v>
      </c>
      <c r="F18" s="86"/>
      <c r="G18" s="82">
        <f>G17+Table_1[[#This Row],[수입]]-Table_1[[#This Row],[지출]]</f>
        <v>23622651</v>
      </c>
      <c r="H18" s="87" t="s">
        <v>54</v>
      </c>
      <c r="I18" s="88"/>
      <c r="J18" s="79"/>
      <c r="K18" s="79"/>
      <c r="L18" s="88"/>
      <c r="M18" s="89"/>
      <c r="N18" s="77"/>
    </row>
    <row r="19" spans="1:15" ht="16.5" customHeight="1">
      <c r="A19" s="119">
        <v>46104</v>
      </c>
      <c r="B19" s="79" t="s">
        <v>55</v>
      </c>
      <c r="C19" s="80" t="s">
        <v>56</v>
      </c>
      <c r="D19" s="86"/>
      <c r="E19" s="86">
        <v>525000</v>
      </c>
      <c r="F19" s="86"/>
      <c r="G19" s="82">
        <f>G18+Table_1[[#This Row],[수입]]-Table_1[[#This Row],[지출]]</f>
        <v>23097651</v>
      </c>
      <c r="H19" s="87" t="s">
        <v>57</v>
      </c>
      <c r="I19" s="88" t="s">
        <v>58</v>
      </c>
      <c r="J19" s="79" t="s">
        <v>41</v>
      </c>
      <c r="K19" s="79" t="s">
        <v>42</v>
      </c>
      <c r="L19" s="88" t="s">
        <v>43</v>
      </c>
      <c r="M19" s="89"/>
      <c r="N19" s="77"/>
    </row>
    <row r="20" spans="1:15" ht="16.5" customHeight="1">
      <c r="A20" s="119">
        <v>46106</v>
      </c>
      <c r="B20" s="79" t="s">
        <v>4</v>
      </c>
      <c r="C20" s="79" t="s">
        <v>17</v>
      </c>
      <c r="D20" s="86">
        <v>1850000</v>
      </c>
      <c r="E20" s="86"/>
      <c r="F20" s="86"/>
      <c r="G20" s="82">
        <f>G19+Table_1[[#This Row],[수입]]-Table_1[[#This Row],[지출]]</f>
        <v>24947651</v>
      </c>
      <c r="H20" s="87"/>
      <c r="I20" s="88"/>
      <c r="J20" s="79"/>
      <c r="K20" s="79"/>
      <c r="L20" s="88"/>
      <c r="M20" s="89"/>
      <c r="N20" s="77"/>
    </row>
    <row r="21" spans="1:15" ht="16.5" customHeight="1">
      <c r="A21" s="119">
        <v>46106</v>
      </c>
      <c r="B21" s="79" t="s">
        <v>48</v>
      </c>
      <c r="C21" s="79" t="s">
        <v>59</v>
      </c>
      <c r="D21" s="86"/>
      <c r="E21" s="86">
        <v>13500</v>
      </c>
      <c r="F21" s="86"/>
      <c r="G21" s="82">
        <f>G20+Table_1[[#This Row],[수입]]-Table_1[[#This Row],[지출]]</f>
        <v>24934151</v>
      </c>
      <c r="H21" s="87" t="s">
        <v>60</v>
      </c>
      <c r="I21" s="88" t="s">
        <v>61</v>
      </c>
      <c r="J21" s="79" t="s">
        <v>37</v>
      </c>
      <c r="K21" s="79" t="s">
        <v>32</v>
      </c>
      <c r="L21" s="88" t="s">
        <v>38</v>
      </c>
      <c r="M21" s="89"/>
      <c r="N21" s="77"/>
    </row>
    <row r="22" spans="1:15" ht="16.5" customHeight="1">
      <c r="A22" s="119">
        <v>46111</v>
      </c>
      <c r="B22" s="79" t="s">
        <v>48</v>
      </c>
      <c r="C22" s="80" t="s">
        <v>59</v>
      </c>
      <c r="D22" s="86"/>
      <c r="E22" s="86">
        <v>80000</v>
      </c>
      <c r="F22" s="86"/>
      <c r="G22" s="82">
        <f>G21+Table_1[[#This Row],[수입]]-Table_1[[#This Row],[지출]]</f>
        <v>24854151</v>
      </c>
      <c r="H22" s="87" t="s">
        <v>62</v>
      </c>
      <c r="I22" s="88" t="s">
        <v>63</v>
      </c>
      <c r="J22" s="79" t="s">
        <v>23</v>
      </c>
      <c r="K22" s="79" t="s">
        <v>24</v>
      </c>
      <c r="L22" s="88" t="s">
        <v>25</v>
      </c>
      <c r="M22" s="89"/>
      <c r="N22" s="77"/>
    </row>
    <row r="23" spans="1:15" ht="16.5" customHeight="1">
      <c r="A23" s="119">
        <v>46111</v>
      </c>
      <c r="B23" s="79" t="s">
        <v>48</v>
      </c>
      <c r="C23" s="80" t="s">
        <v>59</v>
      </c>
      <c r="D23" s="86"/>
      <c r="E23" s="86">
        <v>104000</v>
      </c>
      <c r="F23" s="86"/>
      <c r="G23" s="82">
        <f>G22+Table_1[[#This Row],[수입]]-Table_1[[#This Row],[지출]]</f>
        <v>24750151</v>
      </c>
      <c r="H23" s="87" t="s">
        <v>64</v>
      </c>
      <c r="I23" s="88" t="s">
        <v>65</v>
      </c>
      <c r="J23" s="79" t="s">
        <v>37</v>
      </c>
      <c r="K23" s="79" t="s">
        <v>32</v>
      </c>
      <c r="L23" s="88" t="s">
        <v>38</v>
      </c>
      <c r="M23" s="89"/>
      <c r="N23" s="77"/>
    </row>
    <row r="24" spans="1:15" ht="16.5" customHeight="1">
      <c r="A24" s="119">
        <v>46112</v>
      </c>
      <c r="B24" s="79" t="s">
        <v>48</v>
      </c>
      <c r="C24" s="80" t="s">
        <v>59</v>
      </c>
      <c r="D24" s="86"/>
      <c r="E24" s="86">
        <v>176000</v>
      </c>
      <c r="F24" s="86"/>
      <c r="G24" s="82">
        <f>G23+Table_1[[#This Row],[수입]]-Table_1[[#This Row],[지출]]</f>
        <v>24574151</v>
      </c>
      <c r="H24" s="87" t="s">
        <v>66</v>
      </c>
      <c r="I24" s="88" t="s">
        <v>65</v>
      </c>
      <c r="J24" s="79" t="s">
        <v>41</v>
      </c>
      <c r="K24" s="79" t="s">
        <v>42</v>
      </c>
      <c r="L24" s="88" t="s">
        <v>43</v>
      </c>
      <c r="M24" s="89"/>
      <c r="N24" s="77"/>
    </row>
    <row r="25" spans="1:15" ht="16.5" customHeight="1">
      <c r="A25" s="119">
        <v>46119</v>
      </c>
      <c r="B25" s="79" t="s">
        <v>48</v>
      </c>
      <c r="C25" s="80" t="s">
        <v>59</v>
      </c>
      <c r="D25" s="86"/>
      <c r="E25" s="86">
        <v>12700</v>
      </c>
      <c r="F25" s="86"/>
      <c r="G25" s="82">
        <f>G24+Table_1[[#This Row],[수입]]-Table_1[[#This Row],[지출]]</f>
        <v>24561451</v>
      </c>
      <c r="H25" s="87" t="s">
        <v>67</v>
      </c>
      <c r="I25" s="88" t="s">
        <v>68</v>
      </c>
      <c r="J25" s="79" t="s">
        <v>23</v>
      </c>
      <c r="K25" s="79" t="s">
        <v>24</v>
      </c>
      <c r="L25" s="88" t="s">
        <v>25</v>
      </c>
      <c r="M25" s="89"/>
      <c r="N25" s="77"/>
    </row>
    <row r="26" spans="1:15" ht="16.5" customHeight="1">
      <c r="A26" s="119">
        <v>46121</v>
      </c>
      <c r="B26" s="79" t="s">
        <v>55</v>
      </c>
      <c r="C26" s="80" t="s">
        <v>56</v>
      </c>
      <c r="D26" s="86"/>
      <c r="E26" s="86">
        <v>343700</v>
      </c>
      <c r="F26" s="86"/>
      <c r="G26" s="82">
        <f>G25+Table_1[[#This Row],[수입]]-Table_1[[#This Row],[지출]]</f>
        <v>24217751</v>
      </c>
      <c r="H26" s="87" t="s">
        <v>69</v>
      </c>
      <c r="I26" s="88" t="s">
        <v>70</v>
      </c>
      <c r="J26" s="79" t="s">
        <v>37</v>
      </c>
      <c r="K26" s="79" t="s">
        <v>32</v>
      </c>
      <c r="L26" s="88" t="s">
        <v>38</v>
      </c>
      <c r="M26" s="89"/>
      <c r="N26" s="77"/>
    </row>
    <row r="27" spans="1:15" ht="16.5" customHeight="1">
      <c r="A27" s="119">
        <v>46125</v>
      </c>
      <c r="B27" s="79" t="s">
        <v>55</v>
      </c>
      <c r="C27" s="80" t="s">
        <v>56</v>
      </c>
      <c r="D27" s="86"/>
      <c r="E27" s="86">
        <v>61500</v>
      </c>
      <c r="F27" s="86"/>
      <c r="G27" s="82">
        <f>G26+Table_1[[#This Row],[수입]]-Table_1[[#This Row],[지출]]</f>
        <v>24156251</v>
      </c>
      <c r="H27" s="87" t="s">
        <v>71</v>
      </c>
      <c r="I27" s="88" t="s">
        <v>72</v>
      </c>
      <c r="J27" s="79" t="s">
        <v>37</v>
      </c>
      <c r="K27" s="79" t="s">
        <v>32</v>
      </c>
      <c r="L27" s="88" t="s">
        <v>38</v>
      </c>
      <c r="M27" s="89"/>
      <c r="N27" s="77"/>
    </row>
    <row r="28" spans="1:15" ht="16.5" customHeight="1">
      <c r="A28" s="119">
        <v>46125</v>
      </c>
      <c r="B28" s="79" t="s">
        <v>55</v>
      </c>
      <c r="C28" s="80" t="s">
        <v>56</v>
      </c>
      <c r="D28" s="86"/>
      <c r="E28" s="86">
        <v>70900</v>
      </c>
      <c r="F28" s="86"/>
      <c r="G28" s="82">
        <f>G27+Table_1[[#This Row],[수입]]-Table_1[[#This Row],[지출]]</f>
        <v>24085351</v>
      </c>
      <c r="H28" s="87" t="s">
        <v>73</v>
      </c>
      <c r="I28" s="88" t="s">
        <v>72</v>
      </c>
      <c r="J28" s="79" t="s">
        <v>37</v>
      </c>
      <c r="K28" s="79" t="s">
        <v>32</v>
      </c>
      <c r="L28" s="88" t="s">
        <v>38</v>
      </c>
      <c r="M28" s="89"/>
      <c r="N28" s="77"/>
    </row>
    <row r="29" spans="1:15" ht="16.5" customHeight="1">
      <c r="A29" s="119">
        <v>46127</v>
      </c>
      <c r="B29" s="79" t="s">
        <v>55</v>
      </c>
      <c r="C29" s="80" t="s">
        <v>56</v>
      </c>
      <c r="D29" s="86"/>
      <c r="E29" s="86">
        <v>24000</v>
      </c>
      <c r="F29" s="86"/>
      <c r="G29" s="82">
        <f>G28+Table_1[[#This Row],[수입]]-Table_1[[#This Row],[지출]]</f>
        <v>24061351</v>
      </c>
      <c r="H29" s="91" t="s">
        <v>74</v>
      </c>
      <c r="I29" s="88" t="s">
        <v>75</v>
      </c>
      <c r="J29" s="79" t="s">
        <v>37</v>
      </c>
      <c r="K29" s="79" t="s">
        <v>32</v>
      </c>
      <c r="L29" s="88" t="s">
        <v>38</v>
      </c>
      <c r="M29" s="89"/>
      <c r="N29" s="77"/>
      <c r="O29" s="261" t="s">
        <v>76</v>
      </c>
    </row>
    <row r="30" spans="1:15" ht="16.5" customHeight="1">
      <c r="A30" s="119">
        <v>46127</v>
      </c>
      <c r="B30" s="79" t="s">
        <v>55</v>
      </c>
      <c r="C30" s="80" t="s">
        <v>56</v>
      </c>
      <c r="D30" s="86"/>
      <c r="E30" s="86">
        <v>118600</v>
      </c>
      <c r="F30" s="86"/>
      <c r="G30" s="82">
        <f>G29+Table_1[[#This Row],[수입]]-Table_1[[#This Row],[지출]]</f>
        <v>23942751</v>
      </c>
      <c r="H30" s="91" t="s">
        <v>77</v>
      </c>
      <c r="I30" s="88" t="s">
        <v>75</v>
      </c>
      <c r="J30" s="79" t="s">
        <v>37</v>
      </c>
      <c r="K30" s="79" t="s">
        <v>32</v>
      </c>
      <c r="L30" s="88" t="s">
        <v>38</v>
      </c>
      <c r="M30" s="89"/>
      <c r="N30" s="77"/>
      <c r="O30" s="180"/>
    </row>
    <row r="31" spans="1:15" ht="16.5" customHeight="1">
      <c r="A31" s="119">
        <v>46127</v>
      </c>
      <c r="B31" s="79" t="s">
        <v>55</v>
      </c>
      <c r="C31" s="80" t="s">
        <v>56</v>
      </c>
      <c r="D31" s="86"/>
      <c r="E31" s="86">
        <v>25500</v>
      </c>
      <c r="F31" s="86"/>
      <c r="G31" s="82">
        <f>G30+Table_1[[#This Row],[수입]]-Table_1[[#This Row],[지출]]</f>
        <v>23917251</v>
      </c>
      <c r="H31" s="91" t="s">
        <v>78</v>
      </c>
      <c r="I31" s="88" t="s">
        <v>75</v>
      </c>
      <c r="J31" s="79" t="s">
        <v>23</v>
      </c>
      <c r="K31" s="79" t="s">
        <v>24</v>
      </c>
      <c r="L31" s="88" t="s">
        <v>25</v>
      </c>
      <c r="M31" s="89"/>
      <c r="N31" s="77"/>
      <c r="O31" s="180"/>
    </row>
    <row r="32" spans="1:15" ht="16.5" customHeight="1">
      <c r="A32" s="119">
        <v>46127</v>
      </c>
      <c r="B32" s="79" t="s">
        <v>55</v>
      </c>
      <c r="C32" s="80" t="s">
        <v>56</v>
      </c>
      <c r="D32" s="86"/>
      <c r="E32" s="86">
        <v>26000</v>
      </c>
      <c r="F32" s="86"/>
      <c r="G32" s="82">
        <f>G31+Table_1[[#This Row],[수입]]-Table_1[[#This Row],[지출]]</f>
        <v>23891251</v>
      </c>
      <c r="H32" s="91" t="s">
        <v>79</v>
      </c>
      <c r="I32" s="88" t="s">
        <v>75</v>
      </c>
      <c r="J32" s="79" t="s">
        <v>23</v>
      </c>
      <c r="K32" s="79" t="s">
        <v>24</v>
      </c>
      <c r="L32" s="88" t="s">
        <v>25</v>
      </c>
      <c r="M32" s="89"/>
      <c r="N32" s="77"/>
      <c r="O32" s="180"/>
    </row>
    <row r="33" spans="1:16" ht="16.5" customHeight="1">
      <c r="A33" s="119">
        <v>46127</v>
      </c>
      <c r="B33" s="79" t="s">
        <v>55</v>
      </c>
      <c r="C33" s="80" t="s">
        <v>56</v>
      </c>
      <c r="D33" s="86"/>
      <c r="E33" s="86">
        <v>17500</v>
      </c>
      <c r="F33" s="86"/>
      <c r="G33" s="82">
        <f>G32+Table_1[[#This Row],[수입]]-Table_1[[#This Row],[지출]]</f>
        <v>23873751</v>
      </c>
      <c r="H33" s="91" t="s">
        <v>80</v>
      </c>
      <c r="I33" s="88" t="s">
        <v>75</v>
      </c>
      <c r="J33" s="79" t="s">
        <v>34</v>
      </c>
      <c r="K33" s="79" t="s">
        <v>35</v>
      </c>
      <c r="L33" s="88" t="s">
        <v>36</v>
      </c>
      <c r="M33" s="89"/>
      <c r="N33" s="77"/>
      <c r="O33" s="180"/>
    </row>
    <row r="34" spans="1:16" ht="16.5" customHeight="1">
      <c r="A34" s="119">
        <v>46127</v>
      </c>
      <c r="B34" s="79" t="s">
        <v>55</v>
      </c>
      <c r="C34" s="80" t="s">
        <v>56</v>
      </c>
      <c r="D34" s="86"/>
      <c r="E34" s="86">
        <v>29300</v>
      </c>
      <c r="F34" s="86"/>
      <c r="G34" s="82">
        <f>G33+Table_1[[#This Row],[수입]]-Table_1[[#This Row],[지출]]</f>
        <v>23844451</v>
      </c>
      <c r="H34" s="91" t="s">
        <v>81</v>
      </c>
      <c r="I34" s="88" t="s">
        <v>75</v>
      </c>
      <c r="J34" s="79" t="s">
        <v>41</v>
      </c>
      <c r="K34" s="79" t="s">
        <v>42</v>
      </c>
      <c r="L34" s="88" t="s">
        <v>43</v>
      </c>
      <c r="M34" s="89"/>
      <c r="N34" s="77"/>
      <c r="O34" s="180"/>
    </row>
    <row r="35" spans="1:16" ht="16.5" customHeight="1">
      <c r="A35" s="119">
        <v>46127</v>
      </c>
      <c r="B35" s="79" t="s">
        <v>55</v>
      </c>
      <c r="C35" s="80" t="s">
        <v>56</v>
      </c>
      <c r="D35" s="86"/>
      <c r="E35" s="86">
        <v>200000</v>
      </c>
      <c r="F35" s="86"/>
      <c r="G35" s="82">
        <f>G34+Table_1[[#This Row],[수입]]-Table_1[[#This Row],[지출]]</f>
        <v>23644451</v>
      </c>
      <c r="H35" s="91" t="s">
        <v>82</v>
      </c>
      <c r="I35" s="88" t="s">
        <v>75</v>
      </c>
      <c r="J35" s="79" t="s">
        <v>41</v>
      </c>
      <c r="K35" s="79" t="s">
        <v>42</v>
      </c>
      <c r="L35" s="88" t="s">
        <v>43</v>
      </c>
      <c r="M35" s="89"/>
      <c r="N35" s="77"/>
      <c r="O35" s="180"/>
    </row>
    <row r="36" spans="1:16" ht="16.5" customHeight="1">
      <c r="A36" s="119">
        <v>46128</v>
      </c>
      <c r="B36" s="79" t="s">
        <v>55</v>
      </c>
      <c r="C36" s="79" t="s">
        <v>56</v>
      </c>
      <c r="D36" s="86"/>
      <c r="E36" s="86">
        <v>21700</v>
      </c>
      <c r="F36" s="86"/>
      <c r="G36" s="82">
        <f>G35+Table_1[[#This Row],[수입]]-Table_1[[#This Row],[지출]]</f>
        <v>23622751</v>
      </c>
      <c r="H36" s="91" t="s">
        <v>83</v>
      </c>
      <c r="I36" s="88" t="s">
        <v>84</v>
      </c>
      <c r="J36" s="79" t="s">
        <v>37</v>
      </c>
      <c r="K36" s="79" t="s">
        <v>32</v>
      </c>
      <c r="L36" s="88" t="s">
        <v>38</v>
      </c>
      <c r="M36" s="89"/>
      <c r="N36" s="77"/>
      <c r="O36" s="180"/>
      <c r="P36" s="75"/>
    </row>
    <row r="37" spans="1:16" ht="16.5" customHeight="1">
      <c r="A37" s="119">
        <v>46128</v>
      </c>
      <c r="B37" s="79" t="s">
        <v>55</v>
      </c>
      <c r="C37" s="79" t="s">
        <v>56</v>
      </c>
      <c r="D37" s="86"/>
      <c r="E37" s="86">
        <v>3000</v>
      </c>
      <c r="F37" s="86"/>
      <c r="G37" s="82">
        <f>G36+Table_1[[#This Row],[수입]]-Table_1[[#This Row],[지출]]</f>
        <v>23619751</v>
      </c>
      <c r="H37" s="91" t="s">
        <v>85</v>
      </c>
      <c r="I37" s="88" t="s">
        <v>84</v>
      </c>
      <c r="J37" s="79" t="s">
        <v>23</v>
      </c>
      <c r="K37" s="79" t="s">
        <v>24</v>
      </c>
      <c r="L37" s="88" t="s">
        <v>25</v>
      </c>
      <c r="M37" s="89"/>
      <c r="N37" s="77"/>
      <c r="O37" s="180"/>
    </row>
    <row r="38" spans="1:16" ht="16.5" customHeight="1">
      <c r="A38" s="119">
        <v>46128</v>
      </c>
      <c r="B38" s="79" t="s">
        <v>55</v>
      </c>
      <c r="C38" s="79" t="s">
        <v>56</v>
      </c>
      <c r="D38" s="86"/>
      <c r="E38" s="86">
        <v>18000</v>
      </c>
      <c r="F38" s="86"/>
      <c r="G38" s="82">
        <f>G37+Table_1[[#This Row],[수입]]-Table_1[[#This Row],[지출]]</f>
        <v>23601751</v>
      </c>
      <c r="H38" s="91" t="s">
        <v>86</v>
      </c>
      <c r="I38" s="88" t="s">
        <v>84</v>
      </c>
      <c r="J38" s="79" t="s">
        <v>23</v>
      </c>
      <c r="K38" s="79" t="s">
        <v>24</v>
      </c>
      <c r="L38" s="88" t="s">
        <v>25</v>
      </c>
      <c r="M38" s="89"/>
      <c r="N38" s="77"/>
      <c r="O38" s="180"/>
    </row>
    <row r="39" spans="1:16" ht="16.5" customHeight="1">
      <c r="A39" s="119">
        <v>46128</v>
      </c>
      <c r="B39" s="79" t="s">
        <v>55</v>
      </c>
      <c r="C39" s="79" t="s">
        <v>56</v>
      </c>
      <c r="D39" s="86"/>
      <c r="E39" s="86">
        <v>14600</v>
      </c>
      <c r="F39" s="86"/>
      <c r="G39" s="82">
        <f>G38+Table_1[[#This Row],[수입]]-Table_1[[#This Row],[지출]]</f>
        <v>23587151</v>
      </c>
      <c r="H39" s="91" t="s">
        <v>87</v>
      </c>
      <c r="I39" s="88" t="s">
        <v>84</v>
      </c>
      <c r="J39" s="79" t="s">
        <v>41</v>
      </c>
      <c r="K39" s="79" t="s">
        <v>42</v>
      </c>
      <c r="L39" s="88" t="s">
        <v>43</v>
      </c>
      <c r="M39" s="89"/>
      <c r="N39" s="77"/>
      <c r="O39" s="180"/>
    </row>
    <row r="40" spans="1:16" ht="16.5" customHeight="1">
      <c r="A40" s="119">
        <v>46128</v>
      </c>
      <c r="B40" s="79" t="s">
        <v>55</v>
      </c>
      <c r="C40" s="79" t="s">
        <v>56</v>
      </c>
      <c r="D40" s="86"/>
      <c r="E40" s="123">
        <v>92000</v>
      </c>
      <c r="F40" s="86"/>
      <c r="G40" s="82">
        <f>G39+Table_1[[#This Row],[수입]]-Table_1[[#This Row],[지출]]</f>
        <v>23495151</v>
      </c>
      <c r="H40" s="91" t="s">
        <v>88</v>
      </c>
      <c r="I40" s="88" t="s">
        <v>84</v>
      </c>
      <c r="J40" s="79" t="s">
        <v>41</v>
      </c>
      <c r="K40" s="79" t="s">
        <v>42</v>
      </c>
      <c r="L40" s="88" t="s">
        <v>43</v>
      </c>
      <c r="M40" s="89"/>
      <c r="N40" s="77"/>
      <c r="O40" s="180"/>
    </row>
    <row r="41" spans="1:16" ht="16.5" customHeight="1">
      <c r="A41" s="119">
        <v>46128</v>
      </c>
      <c r="B41" s="79" t="s">
        <v>55</v>
      </c>
      <c r="C41" s="79" t="s">
        <v>56</v>
      </c>
      <c r="D41" s="86"/>
      <c r="E41" s="123">
        <v>200000</v>
      </c>
      <c r="F41" s="86"/>
      <c r="G41" s="82">
        <f>G40+Table_1[[#This Row],[수입]]-Table_1[[#This Row],[지출]]</f>
        <v>23295151</v>
      </c>
      <c r="H41" s="91" t="s">
        <v>88</v>
      </c>
      <c r="I41" s="88" t="s">
        <v>84</v>
      </c>
      <c r="J41" s="79" t="s">
        <v>41</v>
      </c>
      <c r="K41" s="79" t="s">
        <v>42</v>
      </c>
      <c r="L41" s="88" t="s">
        <v>43</v>
      </c>
      <c r="M41" s="89"/>
      <c r="N41" s="77"/>
      <c r="O41" s="180"/>
    </row>
    <row r="42" spans="1:16" ht="16.5" customHeight="1">
      <c r="A42" s="119">
        <v>46128</v>
      </c>
      <c r="B42" s="79" t="s">
        <v>55</v>
      </c>
      <c r="C42" s="79" t="s">
        <v>56</v>
      </c>
      <c r="D42" s="86"/>
      <c r="E42" s="123">
        <v>43000</v>
      </c>
      <c r="F42" s="86"/>
      <c r="G42" s="82">
        <f>G41+Table_1[[#This Row],[수입]]-Table_1[[#This Row],[지출]]</f>
        <v>23252151</v>
      </c>
      <c r="H42" s="91" t="s">
        <v>89</v>
      </c>
      <c r="I42" s="88" t="s">
        <v>84</v>
      </c>
      <c r="J42" s="79" t="s">
        <v>37</v>
      </c>
      <c r="K42" s="79" t="s">
        <v>32</v>
      </c>
      <c r="L42" s="88" t="s">
        <v>38</v>
      </c>
      <c r="M42" s="89"/>
      <c r="N42" s="77"/>
      <c r="O42" s="180"/>
    </row>
    <row r="43" spans="1:16" ht="16.5" customHeight="1">
      <c r="A43" s="119">
        <v>46128</v>
      </c>
      <c r="B43" s="79" t="s">
        <v>55</v>
      </c>
      <c r="C43" s="79" t="s">
        <v>56</v>
      </c>
      <c r="D43" s="86"/>
      <c r="E43" s="123">
        <v>30000</v>
      </c>
      <c r="F43" s="86"/>
      <c r="G43" s="82">
        <f>G42+Table_1[[#This Row],[수입]]-Table_1[[#This Row],[지출]]</f>
        <v>23222151</v>
      </c>
      <c r="H43" s="91" t="s">
        <v>89</v>
      </c>
      <c r="I43" s="88" t="s">
        <v>84</v>
      </c>
      <c r="J43" s="79" t="s">
        <v>37</v>
      </c>
      <c r="K43" s="79" t="s">
        <v>32</v>
      </c>
      <c r="L43" s="88" t="s">
        <v>38</v>
      </c>
      <c r="M43" s="89"/>
      <c r="N43" s="77"/>
      <c r="O43" s="180"/>
    </row>
    <row r="44" spans="1:16" ht="16.5" customHeight="1">
      <c r="A44" s="119">
        <v>46128</v>
      </c>
      <c r="B44" s="79" t="s">
        <v>55</v>
      </c>
      <c r="C44" s="79" t="s">
        <v>56</v>
      </c>
      <c r="D44" s="86"/>
      <c r="E44" s="123">
        <v>84000</v>
      </c>
      <c r="F44" s="86"/>
      <c r="G44" s="82">
        <f>G43+Table_1[[#This Row],[수입]]-Table_1[[#This Row],[지출]]</f>
        <v>23138151</v>
      </c>
      <c r="H44" s="91" t="s">
        <v>89</v>
      </c>
      <c r="I44" s="88" t="s">
        <v>84</v>
      </c>
      <c r="J44" s="79" t="s">
        <v>37</v>
      </c>
      <c r="K44" s="79" t="s">
        <v>32</v>
      </c>
      <c r="L44" s="88" t="s">
        <v>38</v>
      </c>
      <c r="M44" s="89"/>
      <c r="N44" s="77"/>
      <c r="O44" s="180"/>
    </row>
    <row r="45" spans="1:16" ht="16.5" customHeight="1">
      <c r="A45" s="119">
        <v>46128</v>
      </c>
      <c r="B45" s="79" t="s">
        <v>55</v>
      </c>
      <c r="C45" s="79" t="s">
        <v>56</v>
      </c>
      <c r="D45" s="86"/>
      <c r="E45" s="123">
        <v>67000</v>
      </c>
      <c r="F45" s="86"/>
      <c r="G45" s="82">
        <f>G44+Table_1[[#This Row],[수입]]-Table_1[[#This Row],[지출]]</f>
        <v>23071151</v>
      </c>
      <c r="H45" s="91" t="s">
        <v>89</v>
      </c>
      <c r="I45" s="88" t="s">
        <v>84</v>
      </c>
      <c r="J45" s="79" t="s">
        <v>37</v>
      </c>
      <c r="K45" s="79" t="s">
        <v>32</v>
      </c>
      <c r="L45" s="88" t="s">
        <v>38</v>
      </c>
      <c r="M45" s="89"/>
      <c r="N45" s="77"/>
      <c r="O45" s="180"/>
      <c r="P45" s="75"/>
    </row>
    <row r="46" spans="1:16" ht="16.5" customHeight="1">
      <c r="A46" s="119">
        <v>46128</v>
      </c>
      <c r="B46" s="79" t="s">
        <v>55</v>
      </c>
      <c r="C46" s="79" t="s">
        <v>56</v>
      </c>
      <c r="D46" s="86"/>
      <c r="E46" s="86">
        <v>50000</v>
      </c>
      <c r="F46" s="86"/>
      <c r="G46" s="82">
        <f>G45+Table_1[[#This Row],[수입]]-Table_1[[#This Row],[지출]]</f>
        <v>23021151</v>
      </c>
      <c r="H46" s="91" t="s">
        <v>90</v>
      </c>
      <c r="I46" s="88" t="s">
        <v>84</v>
      </c>
      <c r="J46" s="79" t="s">
        <v>91</v>
      </c>
      <c r="K46" s="79" t="s">
        <v>24</v>
      </c>
      <c r="L46" s="88"/>
      <c r="M46" s="89"/>
      <c r="N46" s="77"/>
      <c r="O46" s="180"/>
    </row>
    <row r="47" spans="1:16" ht="16.5" customHeight="1">
      <c r="A47" s="119">
        <v>46128</v>
      </c>
      <c r="B47" s="79" t="s">
        <v>55</v>
      </c>
      <c r="C47" s="79" t="s">
        <v>56</v>
      </c>
      <c r="D47" s="86"/>
      <c r="E47" s="86">
        <v>31000</v>
      </c>
      <c r="F47" s="86"/>
      <c r="G47" s="82">
        <f>G46+Table_1[[#This Row],[수입]]-Table_1[[#This Row],[지출]]</f>
        <v>22990151</v>
      </c>
      <c r="H47" s="91" t="s">
        <v>92</v>
      </c>
      <c r="I47" s="88" t="s">
        <v>93</v>
      </c>
      <c r="J47" s="79" t="s">
        <v>29</v>
      </c>
      <c r="K47" s="79" t="s">
        <v>24</v>
      </c>
      <c r="L47" s="88"/>
      <c r="M47" s="89"/>
      <c r="N47" s="77"/>
      <c r="O47" s="180"/>
    </row>
    <row r="48" spans="1:16" ht="16.5" customHeight="1">
      <c r="A48" s="119">
        <v>46128</v>
      </c>
      <c r="B48" s="79" t="s">
        <v>55</v>
      </c>
      <c r="C48" s="79" t="s">
        <v>56</v>
      </c>
      <c r="D48" s="86"/>
      <c r="E48" s="86">
        <v>64500</v>
      </c>
      <c r="F48" s="86"/>
      <c r="G48" s="82">
        <f>G47+Table_1[[#This Row],[수입]]-Table_1[[#This Row],[지출]]</f>
        <v>22925651</v>
      </c>
      <c r="H48" s="91" t="s">
        <v>94</v>
      </c>
      <c r="I48" s="88" t="s">
        <v>93</v>
      </c>
      <c r="J48" s="79" t="s">
        <v>26</v>
      </c>
      <c r="K48" s="79" t="s">
        <v>24</v>
      </c>
      <c r="L48" s="88"/>
      <c r="M48" s="89"/>
      <c r="N48" s="77"/>
      <c r="O48" s="180"/>
    </row>
    <row r="49" spans="1:15" ht="16.5" customHeight="1">
      <c r="A49" s="119">
        <v>46128</v>
      </c>
      <c r="B49" s="79" t="s">
        <v>55</v>
      </c>
      <c r="C49" s="79" t="s">
        <v>56</v>
      </c>
      <c r="D49" s="86"/>
      <c r="E49" s="86">
        <v>43600</v>
      </c>
      <c r="F49" s="86"/>
      <c r="G49" s="82">
        <f>G48+Table_1[[#This Row],[수입]]-Table_1[[#This Row],[지출]]</f>
        <v>22882051</v>
      </c>
      <c r="H49" s="91" t="s">
        <v>95</v>
      </c>
      <c r="I49" s="88" t="s">
        <v>93</v>
      </c>
      <c r="J49" s="79" t="s">
        <v>23</v>
      </c>
      <c r="K49" s="79" t="s">
        <v>24</v>
      </c>
      <c r="L49" s="88"/>
      <c r="M49" s="89"/>
      <c r="N49" s="77"/>
      <c r="O49" s="180"/>
    </row>
    <row r="50" spans="1:15" ht="16.5" customHeight="1">
      <c r="A50" s="119">
        <v>46135</v>
      </c>
      <c r="B50" s="79" t="s">
        <v>55</v>
      </c>
      <c r="C50" s="79" t="s">
        <v>56</v>
      </c>
      <c r="D50" s="86"/>
      <c r="E50" s="86">
        <v>37200</v>
      </c>
      <c r="F50" s="86"/>
      <c r="G50" s="82">
        <f>G49+Table_1[[#This Row],[수입]]-Table_1[[#This Row],[지출]]</f>
        <v>22844851</v>
      </c>
      <c r="H50" s="91" t="s">
        <v>96</v>
      </c>
      <c r="I50" s="88" t="s">
        <v>97</v>
      </c>
      <c r="J50" s="79" t="s">
        <v>37</v>
      </c>
      <c r="K50" s="79" t="s">
        <v>24</v>
      </c>
      <c r="L50" s="88"/>
      <c r="M50" s="89"/>
      <c r="N50" s="77"/>
      <c r="O50" s="92"/>
    </row>
    <row r="51" spans="1:15" ht="16.5" customHeight="1">
      <c r="A51" s="119">
        <v>46137</v>
      </c>
      <c r="B51" s="79" t="s">
        <v>4</v>
      </c>
      <c r="C51" s="79" t="s">
        <v>17</v>
      </c>
      <c r="D51" s="86">
        <v>1855000</v>
      </c>
      <c r="E51" s="86"/>
      <c r="F51" s="86"/>
      <c r="G51" s="82">
        <f>G50+Table_1[[#This Row],[수입]]-Table_1[[#This Row],[지출]]</f>
        <v>24699851</v>
      </c>
      <c r="H51" s="91"/>
      <c r="I51" s="88"/>
      <c r="J51" s="79"/>
      <c r="K51" s="79"/>
      <c r="L51" s="88"/>
      <c r="M51" s="89"/>
      <c r="N51" s="77"/>
      <c r="O51" s="92"/>
    </row>
    <row r="52" spans="1:15" ht="16.5" customHeight="1">
      <c r="A52" s="119">
        <v>46139</v>
      </c>
      <c r="B52" s="79" t="s">
        <v>48</v>
      </c>
      <c r="C52" s="79" t="s">
        <v>59</v>
      </c>
      <c r="D52" s="86"/>
      <c r="E52" s="86">
        <v>14100</v>
      </c>
      <c r="F52" s="86"/>
      <c r="G52" s="82">
        <f>G51+Table_1[[#This Row],[수입]]-Table_1[[#This Row],[지출]]</f>
        <v>24685751</v>
      </c>
      <c r="H52" s="93" t="s">
        <v>98</v>
      </c>
      <c r="I52" s="88" t="s">
        <v>99</v>
      </c>
      <c r="J52" s="79" t="s">
        <v>41</v>
      </c>
      <c r="K52" s="79" t="s">
        <v>42</v>
      </c>
      <c r="L52" s="88"/>
      <c r="M52" s="89"/>
      <c r="N52" s="77"/>
      <c r="O52" s="259" t="s">
        <v>100</v>
      </c>
    </row>
    <row r="53" spans="1:15" ht="16.5" customHeight="1">
      <c r="A53" s="119">
        <v>46139</v>
      </c>
      <c r="B53" s="79" t="s">
        <v>55</v>
      </c>
      <c r="C53" s="79" t="s">
        <v>56</v>
      </c>
      <c r="D53" s="86"/>
      <c r="E53" s="86">
        <v>230000</v>
      </c>
      <c r="F53" s="86"/>
      <c r="G53" s="82">
        <f>G52+Table_1[[#This Row],[수입]]-Table_1[[#This Row],[지출]]</f>
        <v>24455751</v>
      </c>
      <c r="H53" s="93" t="s">
        <v>101</v>
      </c>
      <c r="I53" s="88" t="s">
        <v>99</v>
      </c>
      <c r="J53" s="79" t="s">
        <v>41</v>
      </c>
      <c r="K53" s="79" t="s">
        <v>42</v>
      </c>
      <c r="L53" s="88"/>
      <c r="M53" s="89"/>
      <c r="N53" s="77"/>
      <c r="O53" s="180"/>
    </row>
    <row r="54" spans="1:15" ht="16.5" customHeight="1">
      <c r="A54" s="119">
        <v>46140</v>
      </c>
      <c r="B54" s="79" t="s">
        <v>48</v>
      </c>
      <c r="C54" s="79" t="s">
        <v>59</v>
      </c>
      <c r="D54" s="86"/>
      <c r="E54" s="86">
        <v>10000</v>
      </c>
      <c r="F54" s="86"/>
      <c r="G54" s="82">
        <f>G53+Table_1[[#This Row],[수입]]-Table_1[[#This Row],[지출]]</f>
        <v>24445751</v>
      </c>
      <c r="H54" s="93" t="s">
        <v>102</v>
      </c>
      <c r="I54" s="88" t="s">
        <v>103</v>
      </c>
      <c r="J54" s="79" t="s">
        <v>37</v>
      </c>
      <c r="K54" s="79" t="s">
        <v>24</v>
      </c>
      <c r="L54" s="88"/>
      <c r="M54" s="89"/>
      <c r="N54" s="77"/>
      <c r="O54" s="180"/>
    </row>
    <row r="55" spans="1:15" ht="16.5" customHeight="1">
      <c r="A55" s="119">
        <v>46142</v>
      </c>
      <c r="B55" s="79" t="s">
        <v>48</v>
      </c>
      <c r="C55" s="79" t="s">
        <v>104</v>
      </c>
      <c r="D55" s="86"/>
      <c r="E55" s="86">
        <v>166000</v>
      </c>
      <c r="F55" s="86"/>
      <c r="G55" s="82">
        <f>G54+Table_1[[#This Row],[수입]]-Table_1[[#This Row],[지출]]</f>
        <v>24279751</v>
      </c>
      <c r="H55" s="87" t="s">
        <v>105</v>
      </c>
      <c r="I55" s="88" t="s">
        <v>106</v>
      </c>
      <c r="J55" s="79" t="s">
        <v>41</v>
      </c>
      <c r="K55" s="79" t="s">
        <v>42</v>
      </c>
      <c r="L55" s="88"/>
      <c r="M55" s="89"/>
      <c r="N55" s="77"/>
      <c r="O55" s="94"/>
    </row>
    <row r="56" spans="1:15" ht="16.5" customHeight="1">
      <c r="A56" s="119">
        <v>46148</v>
      </c>
      <c r="B56" s="79" t="s">
        <v>48</v>
      </c>
      <c r="C56" s="79" t="s">
        <v>59</v>
      </c>
      <c r="D56" s="86"/>
      <c r="E56" s="86">
        <v>26000</v>
      </c>
      <c r="F56" s="86"/>
      <c r="G56" s="82">
        <f>G55+Table_1[[#This Row],[수입]]-Table_1[[#This Row],[지출]]</f>
        <v>24253751</v>
      </c>
      <c r="H56" s="87" t="s">
        <v>107</v>
      </c>
      <c r="I56" s="88" t="s">
        <v>108</v>
      </c>
      <c r="J56" s="79" t="s">
        <v>37</v>
      </c>
      <c r="K56" s="79" t="s">
        <v>24</v>
      </c>
      <c r="L56" s="88"/>
      <c r="M56" s="89"/>
      <c r="N56" s="77"/>
      <c r="O56" s="94"/>
    </row>
    <row r="57" spans="1:15" ht="16.5" customHeight="1">
      <c r="A57" s="119">
        <v>46149</v>
      </c>
      <c r="B57" s="79" t="s">
        <v>48</v>
      </c>
      <c r="C57" s="79" t="s">
        <v>59</v>
      </c>
      <c r="D57" s="86"/>
      <c r="E57" s="86">
        <v>55000</v>
      </c>
      <c r="F57" s="86"/>
      <c r="G57" s="82">
        <f>G56+Table_1[[#This Row],[수입]]-Table_1[[#This Row],[지출]]</f>
        <v>24198751</v>
      </c>
      <c r="H57" s="87" t="s">
        <v>109</v>
      </c>
      <c r="I57" s="88" t="s">
        <v>110</v>
      </c>
      <c r="J57" s="79" t="s">
        <v>41</v>
      </c>
      <c r="K57" s="79" t="s">
        <v>42</v>
      </c>
      <c r="L57" s="88"/>
      <c r="M57" s="89"/>
      <c r="N57" s="77"/>
      <c r="O57" s="94"/>
    </row>
    <row r="58" spans="1:15" ht="16.5" customHeight="1">
      <c r="A58" s="119">
        <v>46149</v>
      </c>
      <c r="B58" s="79" t="s">
        <v>48</v>
      </c>
      <c r="C58" s="79" t="s">
        <v>59</v>
      </c>
      <c r="D58" s="86"/>
      <c r="E58" s="86">
        <v>29700</v>
      </c>
      <c r="F58" s="86"/>
      <c r="G58" s="82">
        <f>G57+Table_1[[#This Row],[수입]]-Table_1[[#This Row],[지출]]</f>
        <v>24169051</v>
      </c>
      <c r="H58" s="87" t="s">
        <v>111</v>
      </c>
      <c r="I58" s="88" t="s">
        <v>110</v>
      </c>
      <c r="J58" s="79" t="s">
        <v>41</v>
      </c>
      <c r="K58" s="79" t="s">
        <v>42</v>
      </c>
      <c r="L58" s="88"/>
      <c r="M58" s="89"/>
      <c r="N58" s="77"/>
      <c r="O58" s="94"/>
    </row>
    <row r="59" spans="1:15" ht="16.5" customHeight="1">
      <c r="A59" s="119">
        <v>46149</v>
      </c>
      <c r="B59" s="79" t="s">
        <v>48</v>
      </c>
      <c r="C59" s="79" t="s">
        <v>59</v>
      </c>
      <c r="D59" s="86"/>
      <c r="E59" s="86">
        <v>66300</v>
      </c>
      <c r="F59" s="86"/>
      <c r="G59" s="82">
        <f>G58+Table_1[[#This Row],[수입]]-Table_1[[#This Row],[지출]]</f>
        <v>24102751</v>
      </c>
      <c r="H59" s="87" t="s">
        <v>112</v>
      </c>
      <c r="I59" s="88" t="s">
        <v>110</v>
      </c>
      <c r="J59" s="79" t="s">
        <v>37</v>
      </c>
      <c r="K59" s="79" t="s">
        <v>32</v>
      </c>
      <c r="L59" s="88"/>
      <c r="M59" s="89"/>
      <c r="N59" s="77"/>
      <c r="O59" s="94"/>
    </row>
    <row r="60" spans="1:15" s="132" customFormat="1" ht="16.5" customHeight="1">
      <c r="A60" s="124">
        <v>46151</v>
      </c>
      <c r="B60" s="125" t="s">
        <v>55</v>
      </c>
      <c r="C60" s="125" t="s">
        <v>56</v>
      </c>
      <c r="D60" s="126"/>
      <c r="E60" s="126">
        <v>30000</v>
      </c>
      <c r="F60" s="126"/>
      <c r="G60" s="82">
        <f>G59+Table_1[[#This Row],[수입]]-Table_1[[#This Row],[지출]]</f>
        <v>24072751</v>
      </c>
      <c r="H60" s="127" t="s">
        <v>113</v>
      </c>
      <c r="I60" s="128" t="s">
        <v>114</v>
      </c>
      <c r="J60" s="125" t="s">
        <v>41</v>
      </c>
      <c r="K60" s="125" t="s">
        <v>42</v>
      </c>
      <c r="L60" s="128"/>
      <c r="M60" s="129"/>
      <c r="N60" s="130"/>
      <c r="O60" s="131"/>
    </row>
    <row r="61" spans="1:15" ht="16.5" customHeight="1">
      <c r="A61" s="119">
        <v>46153</v>
      </c>
      <c r="B61" s="79" t="s">
        <v>48</v>
      </c>
      <c r="C61" s="79" t="s">
        <v>59</v>
      </c>
      <c r="D61" s="86"/>
      <c r="E61" s="86">
        <v>36000</v>
      </c>
      <c r="F61" s="86"/>
      <c r="G61" s="82">
        <f>G60+Table_1[[#This Row],[수입]]-Table_1[[#This Row],[지출]]</f>
        <v>24036751</v>
      </c>
      <c r="H61" s="87" t="s">
        <v>115</v>
      </c>
      <c r="I61" s="88" t="s">
        <v>116</v>
      </c>
      <c r="J61" s="79" t="s">
        <v>41</v>
      </c>
      <c r="K61" s="79" t="s">
        <v>42</v>
      </c>
      <c r="L61" s="88"/>
      <c r="M61" s="89"/>
      <c r="N61" s="77"/>
      <c r="O61" s="94"/>
    </row>
    <row r="62" spans="1:15" ht="16.5" customHeight="1">
      <c r="A62" s="119">
        <v>46155</v>
      </c>
      <c r="B62" s="79" t="s">
        <v>48</v>
      </c>
      <c r="C62" s="79" t="s">
        <v>59</v>
      </c>
      <c r="D62" s="86"/>
      <c r="E62" s="86">
        <v>10500</v>
      </c>
      <c r="F62" s="86"/>
      <c r="G62" s="82">
        <f>G61+Table_1[[#This Row],[수입]]-Table_1[[#This Row],[지출]]</f>
        <v>24026251</v>
      </c>
      <c r="H62" s="87" t="s">
        <v>74</v>
      </c>
      <c r="I62" s="88" t="s">
        <v>117</v>
      </c>
      <c r="J62" s="79" t="s">
        <v>37</v>
      </c>
      <c r="K62" s="79" t="s">
        <v>24</v>
      </c>
      <c r="L62" s="88"/>
      <c r="M62" s="89"/>
      <c r="N62" s="77"/>
      <c r="O62" s="94"/>
    </row>
    <row r="63" spans="1:15" ht="16.5" customHeight="1">
      <c r="A63" s="119">
        <v>46155</v>
      </c>
      <c r="B63" s="79" t="s">
        <v>48</v>
      </c>
      <c r="C63" s="79" t="s">
        <v>59</v>
      </c>
      <c r="D63" s="86"/>
      <c r="E63" s="86">
        <v>13700</v>
      </c>
      <c r="F63" s="86"/>
      <c r="G63" s="82">
        <f>G62+Table_1[[#This Row],[수입]]-Table_1[[#This Row],[지출]]</f>
        <v>24012551</v>
      </c>
      <c r="H63" s="87" t="s">
        <v>118</v>
      </c>
      <c r="I63" s="88" t="s">
        <v>117</v>
      </c>
      <c r="J63" s="79" t="s">
        <v>23</v>
      </c>
      <c r="K63" s="79" t="s">
        <v>24</v>
      </c>
      <c r="L63" s="88"/>
      <c r="M63" s="89"/>
      <c r="N63" s="77"/>
      <c r="O63" s="94"/>
    </row>
    <row r="64" spans="1:15" ht="16.5" customHeight="1">
      <c r="A64" s="119">
        <v>46156</v>
      </c>
      <c r="B64" s="79" t="s">
        <v>48</v>
      </c>
      <c r="C64" s="79" t="s">
        <v>59</v>
      </c>
      <c r="D64" s="86"/>
      <c r="E64" s="86">
        <v>12800</v>
      </c>
      <c r="F64" s="86"/>
      <c r="G64" s="82">
        <f>G63+Table_1[[#This Row],[수입]]-Table_1[[#This Row],[지출]]</f>
        <v>23999751</v>
      </c>
      <c r="H64" s="87" t="s">
        <v>119</v>
      </c>
      <c r="I64" s="88" t="s">
        <v>120</v>
      </c>
      <c r="J64" s="79" t="s">
        <v>41</v>
      </c>
      <c r="K64" s="79" t="s">
        <v>42</v>
      </c>
      <c r="L64" s="88"/>
      <c r="M64" s="89"/>
      <c r="N64" s="77"/>
      <c r="O64" s="94"/>
    </row>
    <row r="65" spans="1:16" ht="16.5" customHeight="1">
      <c r="A65" s="119">
        <v>46157</v>
      </c>
      <c r="B65" s="79" t="s">
        <v>48</v>
      </c>
      <c r="C65" s="79" t="s">
        <v>59</v>
      </c>
      <c r="D65" s="86"/>
      <c r="E65" s="86">
        <v>16300</v>
      </c>
      <c r="F65" s="86"/>
      <c r="G65" s="82">
        <f>G64+Table_1[[#This Row],[수입]]-Table_1[[#This Row],[지출]]</f>
        <v>23983451</v>
      </c>
      <c r="H65" s="87" t="s">
        <v>121</v>
      </c>
      <c r="I65" s="88" t="s">
        <v>122</v>
      </c>
      <c r="J65" s="79" t="s">
        <v>37</v>
      </c>
      <c r="K65" s="79" t="s">
        <v>24</v>
      </c>
      <c r="L65" s="88"/>
      <c r="M65" s="89"/>
      <c r="N65" s="77"/>
      <c r="O65" s="94"/>
    </row>
    <row r="66" spans="1:16" ht="16.5" customHeight="1">
      <c r="A66" s="119">
        <v>46160</v>
      </c>
      <c r="B66" s="79" t="s">
        <v>48</v>
      </c>
      <c r="C66" s="79" t="s">
        <v>59</v>
      </c>
      <c r="D66" s="86"/>
      <c r="E66" s="86">
        <v>100000</v>
      </c>
      <c r="F66" s="86"/>
      <c r="G66" s="82">
        <f>G65+Table_1[[#This Row],[수입]]-Table_1[[#This Row],[지출]]</f>
        <v>23883451</v>
      </c>
      <c r="H66" s="87" t="s">
        <v>123</v>
      </c>
      <c r="I66" s="88" t="s">
        <v>124</v>
      </c>
      <c r="J66" s="79" t="s">
        <v>41</v>
      </c>
      <c r="K66" s="79" t="s">
        <v>42</v>
      </c>
      <c r="L66" s="88"/>
      <c r="M66" s="89"/>
      <c r="N66" s="77"/>
      <c r="O66" s="94"/>
    </row>
    <row r="67" spans="1:16" ht="16.5" customHeight="1">
      <c r="A67" s="119">
        <v>46161</v>
      </c>
      <c r="B67" s="79" t="s">
        <v>48</v>
      </c>
      <c r="C67" s="79" t="s">
        <v>59</v>
      </c>
      <c r="D67" s="86"/>
      <c r="E67" s="86">
        <v>16100</v>
      </c>
      <c r="F67" s="86"/>
      <c r="G67" s="82">
        <f>G66+Table_1[[#This Row],[수입]]-Table_1[[#This Row],[지출]]</f>
        <v>23867351</v>
      </c>
      <c r="H67" s="87" t="s">
        <v>125</v>
      </c>
      <c r="I67" s="88" t="s">
        <v>126</v>
      </c>
      <c r="J67" s="79" t="s">
        <v>41</v>
      </c>
      <c r="K67" s="79" t="s">
        <v>42</v>
      </c>
      <c r="L67" s="88"/>
      <c r="M67" s="89"/>
      <c r="N67" s="77"/>
      <c r="O67" s="94"/>
    </row>
    <row r="68" spans="1:16" ht="16.5" customHeight="1">
      <c r="A68" s="119">
        <v>46164</v>
      </c>
      <c r="B68" s="79" t="s">
        <v>48</v>
      </c>
      <c r="C68" s="79" t="s">
        <v>59</v>
      </c>
      <c r="D68" s="86"/>
      <c r="E68" s="86">
        <v>22000</v>
      </c>
      <c r="F68" s="86"/>
      <c r="G68" s="82">
        <f>G67+Table_1[[#This Row],[수입]]-Table_1[[#This Row],[지출]]</f>
        <v>23845351</v>
      </c>
      <c r="H68" s="87" t="s">
        <v>127</v>
      </c>
      <c r="I68" s="88" t="s">
        <v>128</v>
      </c>
      <c r="J68" s="79" t="s">
        <v>41</v>
      </c>
      <c r="K68" s="79" t="s">
        <v>42</v>
      </c>
      <c r="L68" s="88"/>
      <c r="M68" s="89"/>
      <c r="N68" s="77"/>
      <c r="O68" s="94"/>
      <c r="P68" s="95" t="s">
        <v>129</v>
      </c>
    </row>
    <row r="69" spans="1:16" ht="16.5" customHeight="1">
      <c r="A69" s="119">
        <v>46167</v>
      </c>
      <c r="B69" s="79" t="s">
        <v>4</v>
      </c>
      <c r="C69" s="79" t="s">
        <v>17</v>
      </c>
      <c r="D69" s="86">
        <v>1860000</v>
      </c>
      <c r="E69" s="86"/>
      <c r="F69" s="86"/>
      <c r="G69" s="82">
        <f>G68+Table_1[[#This Row],[수입]]-Table_1[[#This Row],[지출]]</f>
        <v>25705351</v>
      </c>
      <c r="H69" s="87"/>
      <c r="I69" s="88"/>
      <c r="J69" s="79"/>
      <c r="K69" s="79"/>
      <c r="L69" s="88"/>
      <c r="M69" s="89"/>
      <c r="N69" s="77"/>
      <c r="O69" s="94"/>
    </row>
    <row r="70" spans="1:16" ht="16.5" customHeight="1">
      <c r="A70" s="119">
        <v>46168</v>
      </c>
      <c r="B70" s="79" t="s">
        <v>48</v>
      </c>
      <c r="C70" s="79" t="s">
        <v>59</v>
      </c>
      <c r="D70" s="86"/>
      <c r="E70" s="86">
        <v>62100</v>
      </c>
      <c r="F70" s="86"/>
      <c r="G70" s="82">
        <f>G69+Table_1[[#This Row],[수입]]-Table_1[[#This Row],[지출]]</f>
        <v>25643251</v>
      </c>
      <c r="H70" s="87" t="s">
        <v>130</v>
      </c>
      <c r="I70" s="88" t="s">
        <v>131</v>
      </c>
      <c r="J70" s="79" t="s">
        <v>41</v>
      </c>
      <c r="K70" s="79" t="s">
        <v>42</v>
      </c>
      <c r="L70" s="88"/>
      <c r="M70" s="89"/>
      <c r="N70" s="77"/>
      <c r="O70" s="94"/>
    </row>
    <row r="71" spans="1:16" ht="16.5" customHeight="1">
      <c r="A71" s="119">
        <v>46170</v>
      </c>
      <c r="B71" s="79" t="s">
        <v>48</v>
      </c>
      <c r="C71" s="79" t="s">
        <v>59</v>
      </c>
      <c r="D71" s="86"/>
      <c r="E71" s="86">
        <v>18500</v>
      </c>
      <c r="F71" s="86"/>
      <c r="G71" s="82">
        <f>G70+Table_1[[#This Row],[수입]]-Table_1[[#This Row],[지출]]</f>
        <v>25624751</v>
      </c>
      <c r="H71" s="87" t="s">
        <v>132</v>
      </c>
      <c r="I71" s="88" t="s">
        <v>133</v>
      </c>
      <c r="J71" s="79" t="s">
        <v>41</v>
      </c>
      <c r="K71" s="79" t="s">
        <v>42</v>
      </c>
      <c r="L71" s="88"/>
      <c r="M71" s="89"/>
      <c r="N71" s="77"/>
      <c r="O71" s="94"/>
    </row>
    <row r="72" spans="1:16" ht="16.5" customHeight="1">
      <c r="A72" s="119">
        <v>46175</v>
      </c>
      <c r="B72" s="79" t="s">
        <v>48</v>
      </c>
      <c r="C72" s="79" t="s">
        <v>59</v>
      </c>
      <c r="D72" s="86"/>
      <c r="E72" s="86">
        <v>17400</v>
      </c>
      <c r="F72" s="86"/>
      <c r="G72" s="82">
        <f>G71+Table_1[[#This Row],[수입]]-Table_1[[#This Row],[지출]]</f>
        <v>25607351</v>
      </c>
      <c r="H72" s="87" t="s">
        <v>134</v>
      </c>
      <c r="I72" s="88" t="s">
        <v>135</v>
      </c>
      <c r="J72" s="79" t="s">
        <v>41</v>
      </c>
      <c r="K72" s="79" t="s">
        <v>42</v>
      </c>
      <c r="L72" s="88"/>
      <c r="M72" s="89"/>
      <c r="N72" s="77"/>
      <c r="O72" s="94"/>
    </row>
    <row r="73" spans="1:16" ht="16.5" customHeight="1">
      <c r="A73" s="119">
        <v>46175</v>
      </c>
      <c r="B73" s="79" t="s">
        <v>48</v>
      </c>
      <c r="C73" s="79" t="s">
        <v>59</v>
      </c>
      <c r="D73" s="86"/>
      <c r="E73" s="86">
        <v>7200</v>
      </c>
      <c r="F73" s="86"/>
      <c r="G73" s="82">
        <f>G72+Table_1[[#This Row],[수입]]-Table_1[[#This Row],[지출]]</f>
        <v>25600151</v>
      </c>
      <c r="H73" s="87" t="s">
        <v>136</v>
      </c>
      <c r="I73" s="88" t="s">
        <v>135</v>
      </c>
      <c r="J73" s="79" t="s">
        <v>23</v>
      </c>
      <c r="K73" s="79" t="s">
        <v>24</v>
      </c>
      <c r="L73" s="88"/>
      <c r="M73" s="89"/>
      <c r="N73" s="77"/>
      <c r="O73" s="94"/>
    </row>
    <row r="74" spans="1:16" ht="16.5" customHeight="1">
      <c r="A74" s="119">
        <v>46175</v>
      </c>
      <c r="B74" s="79" t="s">
        <v>48</v>
      </c>
      <c r="C74" s="79" t="s">
        <v>59</v>
      </c>
      <c r="D74" s="86"/>
      <c r="E74" s="86">
        <v>248000</v>
      </c>
      <c r="F74" s="86"/>
      <c r="G74" s="82">
        <f>G73+Table_1[[#This Row],[수입]]-Table_1[[#This Row],[지출]]</f>
        <v>25352151</v>
      </c>
      <c r="H74" s="87" t="s">
        <v>137</v>
      </c>
      <c r="I74" s="88" t="s">
        <v>135</v>
      </c>
      <c r="J74" s="79" t="s">
        <v>37</v>
      </c>
      <c r="K74" s="79" t="s">
        <v>24</v>
      </c>
      <c r="L74" s="88"/>
      <c r="M74" s="89"/>
      <c r="N74" s="77"/>
      <c r="O74" s="94"/>
    </row>
    <row r="75" spans="1:16" ht="16.5" customHeight="1">
      <c r="A75" s="119">
        <v>46176</v>
      </c>
      <c r="B75" s="79" t="s">
        <v>48</v>
      </c>
      <c r="C75" s="79" t="s">
        <v>49</v>
      </c>
      <c r="D75" s="86"/>
      <c r="E75" s="86">
        <v>300000</v>
      </c>
      <c r="F75" s="86"/>
      <c r="G75" s="82">
        <f>G74+Table_1[[#This Row],[수입]]-Table_1[[#This Row],[지출]]</f>
        <v>25052151</v>
      </c>
      <c r="H75" s="87" t="s">
        <v>138</v>
      </c>
      <c r="I75" s="88" t="s">
        <v>139</v>
      </c>
      <c r="J75" s="79" t="s">
        <v>26</v>
      </c>
      <c r="K75" s="79" t="s">
        <v>24</v>
      </c>
      <c r="L75" s="88"/>
      <c r="M75" s="89"/>
      <c r="N75" s="77"/>
      <c r="O75" s="94"/>
    </row>
    <row r="76" spans="1:16" ht="16.5" customHeight="1">
      <c r="A76" s="119">
        <v>46176</v>
      </c>
      <c r="B76" s="79" t="s">
        <v>48</v>
      </c>
      <c r="C76" s="79" t="s">
        <v>49</v>
      </c>
      <c r="D76" s="86"/>
      <c r="E76" s="86">
        <v>100000</v>
      </c>
      <c r="F76" s="86"/>
      <c r="G76" s="82">
        <f>G75+Table_1[[#This Row],[수입]]-Table_1[[#This Row],[지출]]</f>
        <v>24952151</v>
      </c>
      <c r="H76" s="87" t="s">
        <v>140</v>
      </c>
      <c r="I76" s="88" t="s">
        <v>139</v>
      </c>
      <c r="J76" s="79" t="s">
        <v>41</v>
      </c>
      <c r="K76" s="79" t="s">
        <v>32</v>
      </c>
      <c r="L76" s="88" t="s">
        <v>52</v>
      </c>
      <c r="M76" s="89" t="s">
        <v>53</v>
      </c>
      <c r="N76" s="77"/>
      <c r="O76" s="94"/>
    </row>
    <row r="77" spans="1:16" ht="16.5" customHeight="1">
      <c r="A77" s="119">
        <v>46181</v>
      </c>
      <c r="B77" s="79" t="s">
        <v>48</v>
      </c>
      <c r="C77" s="79" t="s">
        <v>59</v>
      </c>
      <c r="D77" s="86"/>
      <c r="E77" s="86">
        <v>17100</v>
      </c>
      <c r="F77" s="86"/>
      <c r="G77" s="82">
        <f>G76+Table_1[[#This Row],[수입]]-Table_1[[#This Row],[지출]]</f>
        <v>24935051</v>
      </c>
      <c r="H77" s="87" t="s">
        <v>141</v>
      </c>
      <c r="I77" s="88" t="s">
        <v>142</v>
      </c>
      <c r="J77" s="79" t="s">
        <v>41</v>
      </c>
      <c r="K77" s="79" t="s">
        <v>42</v>
      </c>
      <c r="L77" s="88"/>
      <c r="M77" s="89"/>
      <c r="N77" s="77"/>
      <c r="O77" s="94"/>
    </row>
    <row r="78" spans="1:16" ht="16.5" customHeight="1">
      <c r="A78" s="119">
        <v>46183</v>
      </c>
      <c r="B78" s="79" t="s">
        <v>48</v>
      </c>
      <c r="C78" s="79" t="s">
        <v>59</v>
      </c>
      <c r="D78" s="86"/>
      <c r="E78" s="86">
        <v>94000</v>
      </c>
      <c r="F78" s="86"/>
      <c r="G78" s="82">
        <f>G77+Table_1[[#This Row],[수입]]-Table_1[[#This Row],[지출]]</f>
        <v>24841051</v>
      </c>
      <c r="H78" s="87" t="s">
        <v>143</v>
      </c>
      <c r="I78" s="88" t="s">
        <v>144</v>
      </c>
      <c r="J78" s="79" t="s">
        <v>41</v>
      </c>
      <c r="K78" s="79" t="s">
        <v>42</v>
      </c>
      <c r="L78" s="88"/>
      <c r="M78" s="89"/>
      <c r="N78" s="77"/>
      <c r="O78" s="94"/>
    </row>
    <row r="79" spans="1:16" ht="16.5" customHeight="1">
      <c r="A79" s="119">
        <v>46185</v>
      </c>
      <c r="B79" s="79" t="s">
        <v>48</v>
      </c>
      <c r="C79" s="79" t="s">
        <v>59</v>
      </c>
      <c r="D79" s="86"/>
      <c r="E79" s="86">
        <v>13800</v>
      </c>
      <c r="F79" s="86"/>
      <c r="G79" s="82">
        <f>G78+Table_1[[#This Row],[수입]]-Table_1[[#This Row],[지출]]</f>
        <v>24827251</v>
      </c>
      <c r="H79" s="87" t="s">
        <v>145</v>
      </c>
      <c r="I79" s="88" t="s">
        <v>146</v>
      </c>
      <c r="J79" s="79" t="s">
        <v>41</v>
      </c>
      <c r="K79" s="79" t="s">
        <v>42</v>
      </c>
      <c r="L79" s="88"/>
      <c r="M79" s="89"/>
      <c r="N79" s="77"/>
      <c r="O79" s="94"/>
    </row>
    <row r="80" spans="1:16" ht="16.5" customHeight="1">
      <c r="A80" s="119">
        <v>46188</v>
      </c>
      <c r="B80" s="79" t="s">
        <v>48</v>
      </c>
      <c r="C80" s="79" t="s">
        <v>59</v>
      </c>
      <c r="D80" s="86"/>
      <c r="E80" s="86">
        <v>16800</v>
      </c>
      <c r="F80" s="86"/>
      <c r="G80" s="82">
        <f>G79+Table_1[[#This Row],[수입]]-Table_1[[#This Row],[지출]]</f>
        <v>24810451</v>
      </c>
      <c r="H80" s="87" t="s">
        <v>147</v>
      </c>
      <c r="I80" s="88" t="s">
        <v>148</v>
      </c>
      <c r="J80" s="79" t="s">
        <v>41</v>
      </c>
      <c r="K80" s="79" t="s">
        <v>42</v>
      </c>
      <c r="L80" s="88"/>
      <c r="M80" s="89"/>
      <c r="N80" s="77"/>
      <c r="O80" s="94"/>
    </row>
    <row r="81" spans="1:16" ht="16.5" customHeight="1">
      <c r="A81" s="119">
        <v>46190</v>
      </c>
      <c r="B81" s="79" t="s">
        <v>48</v>
      </c>
      <c r="C81" s="79" t="s">
        <v>59</v>
      </c>
      <c r="D81" s="86"/>
      <c r="E81" s="86">
        <v>14700</v>
      </c>
      <c r="F81" s="86"/>
      <c r="G81" s="82">
        <f>G80+Table_1[[#This Row],[수입]]-Table_1[[#This Row],[지출]]</f>
        <v>24795751</v>
      </c>
      <c r="H81" s="87" t="s">
        <v>149</v>
      </c>
      <c r="I81" s="88" t="s">
        <v>150</v>
      </c>
      <c r="J81" s="79" t="s">
        <v>23</v>
      </c>
      <c r="K81" s="79" t="s">
        <v>24</v>
      </c>
      <c r="L81" s="88"/>
      <c r="M81" s="89"/>
      <c r="N81" s="77"/>
      <c r="O81" s="94"/>
    </row>
    <row r="82" spans="1:16" ht="16.5" customHeight="1">
      <c r="A82" s="119">
        <v>46190</v>
      </c>
      <c r="B82" s="79" t="s">
        <v>48</v>
      </c>
      <c r="C82" s="79" t="s">
        <v>59</v>
      </c>
      <c r="D82" s="86"/>
      <c r="E82" s="86">
        <v>28000</v>
      </c>
      <c r="F82" s="86"/>
      <c r="G82" s="82">
        <f>G81+Table_1[[#This Row],[수입]]-Table_1[[#This Row],[지출]]</f>
        <v>24767751</v>
      </c>
      <c r="H82" s="87" t="s">
        <v>151</v>
      </c>
      <c r="I82" s="88" t="s">
        <v>150</v>
      </c>
      <c r="J82" s="79" t="s">
        <v>37</v>
      </c>
      <c r="K82" s="79" t="s">
        <v>24</v>
      </c>
      <c r="L82" s="88"/>
      <c r="M82" s="89"/>
      <c r="N82" s="77"/>
      <c r="O82" s="94"/>
    </row>
    <row r="83" spans="1:16" ht="16.5" customHeight="1">
      <c r="A83" s="119">
        <v>46191</v>
      </c>
      <c r="B83" s="79" t="s">
        <v>48</v>
      </c>
      <c r="C83" s="79" t="s">
        <v>59</v>
      </c>
      <c r="D83" s="86"/>
      <c r="E83" s="86">
        <v>90000</v>
      </c>
      <c r="F83" s="86"/>
      <c r="G83" s="82">
        <f>G82+Table_1[[#This Row],[수입]]-Table_1[[#This Row],[지출]]</f>
        <v>24677751</v>
      </c>
      <c r="H83" s="87" t="s">
        <v>152</v>
      </c>
      <c r="I83" s="88" t="s">
        <v>153</v>
      </c>
      <c r="J83" s="79" t="s">
        <v>41</v>
      </c>
      <c r="K83" s="79" t="s">
        <v>42</v>
      </c>
      <c r="L83" s="88"/>
      <c r="M83" s="89"/>
      <c r="N83" s="77"/>
      <c r="O83" s="94"/>
    </row>
    <row r="84" spans="1:16" ht="16.5" customHeight="1">
      <c r="A84" s="119">
        <v>46192</v>
      </c>
      <c r="B84" s="79" t="s">
        <v>48</v>
      </c>
      <c r="C84" s="79" t="s">
        <v>59</v>
      </c>
      <c r="D84" s="86"/>
      <c r="E84" s="86">
        <v>25100</v>
      </c>
      <c r="F84" s="86"/>
      <c r="G84" s="82">
        <f>G83+Table_1[[#This Row],[수입]]-Table_1[[#This Row],[지출]]</f>
        <v>24652651</v>
      </c>
      <c r="H84" s="87" t="s">
        <v>154</v>
      </c>
      <c r="I84" s="88" t="s">
        <v>155</v>
      </c>
      <c r="J84" s="79" t="s">
        <v>41</v>
      </c>
      <c r="K84" s="79" t="s">
        <v>42</v>
      </c>
      <c r="L84" s="88"/>
      <c r="M84" s="89"/>
      <c r="N84" s="77"/>
      <c r="O84" s="94"/>
    </row>
    <row r="85" spans="1:16" ht="16.5" customHeight="1">
      <c r="A85" s="119">
        <v>46196</v>
      </c>
      <c r="B85" s="79" t="s">
        <v>48</v>
      </c>
      <c r="C85" s="79" t="s">
        <v>59</v>
      </c>
      <c r="D85" s="86"/>
      <c r="E85" s="86">
        <v>22000</v>
      </c>
      <c r="F85" s="86"/>
      <c r="G85" s="82">
        <f>G84+Table_1[[#This Row],[수입]]-Table_1[[#This Row],[지출]]</f>
        <v>24630651</v>
      </c>
      <c r="H85" s="87" t="s">
        <v>156</v>
      </c>
      <c r="I85" s="88" t="s">
        <v>157</v>
      </c>
      <c r="J85" s="79" t="s">
        <v>37</v>
      </c>
      <c r="K85" s="79" t="s">
        <v>24</v>
      </c>
      <c r="L85" s="88"/>
      <c r="M85" s="89"/>
      <c r="N85" s="77"/>
      <c r="O85" s="94"/>
    </row>
    <row r="86" spans="1:16" ht="16.5" customHeight="1">
      <c r="A86" s="119">
        <v>46196</v>
      </c>
      <c r="B86" s="79" t="s">
        <v>48</v>
      </c>
      <c r="C86" s="79" t="s">
        <v>59</v>
      </c>
      <c r="D86" s="86"/>
      <c r="E86" s="86">
        <v>25700</v>
      </c>
      <c r="F86" s="86"/>
      <c r="G86" s="82">
        <f>G85+Table_1[[#This Row],[수입]]-Table_1[[#This Row],[지출]]</f>
        <v>24604951</v>
      </c>
      <c r="H86" s="87" t="s">
        <v>158</v>
      </c>
      <c r="I86" s="88" t="s">
        <v>157</v>
      </c>
      <c r="J86" s="79" t="s">
        <v>23</v>
      </c>
      <c r="K86" s="79" t="s">
        <v>24</v>
      </c>
      <c r="L86" s="88"/>
      <c r="M86" s="89"/>
      <c r="N86" s="77"/>
      <c r="O86" s="94"/>
    </row>
    <row r="87" spans="1:16" ht="16.5" customHeight="1">
      <c r="A87" s="119">
        <v>46198</v>
      </c>
      <c r="B87" s="79" t="s">
        <v>4</v>
      </c>
      <c r="C87" s="79" t="s">
        <v>17</v>
      </c>
      <c r="D87" s="86">
        <v>1860000</v>
      </c>
      <c r="E87" s="86"/>
      <c r="F87" s="86"/>
      <c r="G87" s="82">
        <f>G86+Table_1[[#This Row],[수입]]-Table_1[[#This Row],[지출]]</f>
        <v>26464951</v>
      </c>
      <c r="H87" s="87"/>
      <c r="I87" s="88"/>
      <c r="J87" s="79"/>
      <c r="K87" s="79"/>
      <c r="L87" s="88"/>
      <c r="M87" s="89"/>
      <c r="N87" s="77"/>
      <c r="O87" s="94"/>
    </row>
    <row r="88" spans="1:16" ht="16.5" customHeight="1">
      <c r="A88" s="119">
        <v>46199</v>
      </c>
      <c r="B88" s="79" t="s">
        <v>48</v>
      </c>
      <c r="C88" s="79" t="s">
        <v>59</v>
      </c>
      <c r="D88" s="86"/>
      <c r="E88" s="86">
        <v>15100</v>
      </c>
      <c r="F88" s="86"/>
      <c r="G88" s="82">
        <f>G87+Table_1[[#This Row],[수입]]-Table_1[[#This Row],[지출]]</f>
        <v>26449851</v>
      </c>
      <c r="H88" s="87" t="s">
        <v>145</v>
      </c>
      <c r="I88" s="88" t="s">
        <v>159</v>
      </c>
      <c r="J88" s="79" t="s">
        <v>34</v>
      </c>
      <c r="K88" s="79" t="s">
        <v>24</v>
      </c>
      <c r="L88" s="88"/>
      <c r="M88" s="89"/>
      <c r="N88" s="77"/>
      <c r="O88" s="94"/>
    </row>
    <row r="89" spans="1:16" ht="16.5" customHeight="1">
      <c r="A89" s="119">
        <v>46203</v>
      </c>
      <c r="B89" s="79" t="s">
        <v>48</v>
      </c>
      <c r="C89" s="79" t="s">
        <v>59</v>
      </c>
      <c r="D89" s="86"/>
      <c r="E89" s="86">
        <v>19400</v>
      </c>
      <c r="F89" s="86"/>
      <c r="G89" s="82">
        <f>G88+Table_1[[#This Row],[수입]]-Table_1[[#This Row],[지출]]</f>
        <v>26430451</v>
      </c>
      <c r="H89" s="87" t="s">
        <v>160</v>
      </c>
      <c r="I89" s="88" t="s">
        <v>161</v>
      </c>
      <c r="J89" s="79" t="s">
        <v>23</v>
      </c>
      <c r="K89" s="79" t="s">
        <v>24</v>
      </c>
      <c r="L89" s="88"/>
      <c r="M89" s="89"/>
      <c r="N89" s="77"/>
      <c r="O89" s="94"/>
      <c r="P89" s="153"/>
    </row>
    <row r="90" spans="1:16" ht="16.5" customHeight="1">
      <c r="A90" s="119">
        <v>46203</v>
      </c>
      <c r="B90" s="79" t="s">
        <v>4</v>
      </c>
      <c r="C90" s="79" t="s">
        <v>162</v>
      </c>
      <c r="D90" s="86">
        <v>13300</v>
      </c>
      <c r="E90" s="86"/>
      <c r="F90" s="86"/>
      <c r="G90" s="82">
        <f>G89+Table_1[[#This Row],[수입]]-Table_1[[#This Row],[지출]]</f>
        <v>26443751</v>
      </c>
      <c r="H90" s="87"/>
      <c r="I90" s="88"/>
      <c r="J90" s="79"/>
      <c r="K90" s="79"/>
      <c r="L90" s="88"/>
      <c r="M90" s="89"/>
      <c r="N90" s="77"/>
      <c r="O90" s="94"/>
    </row>
    <row r="91" spans="1:16" ht="16.5" customHeight="1">
      <c r="A91" s="119">
        <v>46204</v>
      </c>
      <c r="B91" s="79" t="s">
        <v>48</v>
      </c>
      <c r="C91" s="79" t="s">
        <v>59</v>
      </c>
      <c r="D91" s="86"/>
      <c r="E91" s="86">
        <v>17000</v>
      </c>
      <c r="F91" s="86"/>
      <c r="G91" s="82">
        <f>G90+Table_1[[#This Row],[수입]]-Table_1[[#This Row],[지출]]</f>
        <v>26426751</v>
      </c>
      <c r="H91" s="87" t="s">
        <v>145</v>
      </c>
      <c r="I91" s="88" t="s">
        <v>163</v>
      </c>
      <c r="J91" s="79" t="s">
        <v>41</v>
      </c>
      <c r="K91" s="79" t="s">
        <v>42</v>
      </c>
      <c r="L91" s="88"/>
      <c r="M91" s="89"/>
      <c r="N91" s="77"/>
      <c r="O91" s="94"/>
    </row>
    <row r="92" spans="1:16" ht="16.5" customHeight="1">
      <c r="A92" s="119">
        <v>46205</v>
      </c>
      <c r="B92" s="79" t="s">
        <v>48</v>
      </c>
      <c r="C92" s="79" t="s">
        <v>59</v>
      </c>
      <c r="D92" s="86"/>
      <c r="E92" s="86">
        <v>65700</v>
      </c>
      <c r="F92" s="86"/>
      <c r="G92" s="82">
        <f>G91+Table_1[[#This Row],[수입]]-Table_1[[#This Row],[지출]]</f>
        <v>26361051</v>
      </c>
      <c r="H92" s="87" t="s">
        <v>164</v>
      </c>
      <c r="I92" s="88" t="s">
        <v>165</v>
      </c>
      <c r="J92" s="79" t="s">
        <v>41</v>
      </c>
      <c r="K92" s="79" t="s">
        <v>42</v>
      </c>
      <c r="L92" s="88"/>
      <c r="M92" s="89"/>
      <c r="N92" s="77"/>
      <c r="O92" s="94"/>
    </row>
    <row r="93" spans="1:16" ht="16.5" customHeight="1">
      <c r="A93" s="119">
        <v>46205</v>
      </c>
      <c r="B93" s="79" t="s">
        <v>48</v>
      </c>
      <c r="C93" s="79" t="s">
        <v>59</v>
      </c>
      <c r="D93" s="86"/>
      <c r="E93" s="86">
        <v>15200</v>
      </c>
      <c r="F93" s="86"/>
      <c r="G93" s="82">
        <f>G92+Table_1[[#This Row],[수입]]-Table_1[[#This Row],[지출]]</f>
        <v>26345851</v>
      </c>
      <c r="H93" s="87" t="s">
        <v>145</v>
      </c>
      <c r="I93" s="88" t="s">
        <v>165</v>
      </c>
      <c r="J93" s="79" t="s">
        <v>23</v>
      </c>
      <c r="K93" s="79" t="s">
        <v>24</v>
      </c>
      <c r="L93" s="88"/>
      <c r="M93" s="89"/>
      <c r="N93" s="77"/>
      <c r="O93" s="94"/>
    </row>
    <row r="94" spans="1:16" ht="16.5" customHeight="1">
      <c r="A94" s="119">
        <v>46206</v>
      </c>
      <c r="B94" s="79" t="s">
        <v>48</v>
      </c>
      <c r="C94" s="79" t="s">
        <v>59</v>
      </c>
      <c r="D94" s="86"/>
      <c r="E94" s="86">
        <v>7500</v>
      </c>
      <c r="F94" s="86"/>
      <c r="G94" s="82">
        <f>G93+Table_1[[#This Row],[수입]]-Table_1[[#This Row],[지출]]</f>
        <v>26338351</v>
      </c>
      <c r="H94" s="87" t="s">
        <v>166</v>
      </c>
      <c r="I94" s="88" t="s">
        <v>167</v>
      </c>
      <c r="J94" s="79" t="s">
        <v>23</v>
      </c>
      <c r="K94" s="79" t="s">
        <v>24</v>
      </c>
      <c r="L94" s="88"/>
      <c r="M94" s="89"/>
      <c r="N94" s="77"/>
      <c r="O94" s="94"/>
    </row>
    <row r="95" spans="1:16" ht="16.5" customHeight="1">
      <c r="A95" s="119">
        <v>46210</v>
      </c>
      <c r="B95" s="79" t="s">
        <v>48</v>
      </c>
      <c r="C95" s="79" t="s">
        <v>59</v>
      </c>
      <c r="D95" s="86"/>
      <c r="E95" s="86">
        <v>10800</v>
      </c>
      <c r="F95" s="86"/>
      <c r="G95" s="82">
        <f>G94+Table_1[[#This Row],[수입]]-Table_1[[#This Row],[지출]]</f>
        <v>26327551</v>
      </c>
      <c r="H95" s="87" t="s">
        <v>168</v>
      </c>
      <c r="I95" s="88" t="s">
        <v>169</v>
      </c>
      <c r="J95" s="79" t="s">
        <v>23</v>
      </c>
      <c r="K95" s="79" t="s">
        <v>24</v>
      </c>
      <c r="L95" s="88"/>
      <c r="M95" s="89"/>
      <c r="N95" s="77"/>
      <c r="O95" s="94"/>
    </row>
    <row r="96" spans="1:16" ht="16.5" customHeight="1">
      <c r="A96" s="119">
        <v>46209</v>
      </c>
      <c r="B96" s="79" t="s">
        <v>48</v>
      </c>
      <c r="C96" s="79" t="s">
        <v>59</v>
      </c>
      <c r="D96" s="86"/>
      <c r="E96" s="86">
        <v>14700</v>
      </c>
      <c r="F96" s="86"/>
      <c r="G96" s="82">
        <f>G95+Table_1[[#This Row],[수입]]-Table_1[[#This Row],[지출]]</f>
        <v>26312851</v>
      </c>
      <c r="H96" s="87" t="s">
        <v>145</v>
      </c>
      <c r="I96" s="88" t="s">
        <v>170</v>
      </c>
      <c r="J96" s="79" t="s">
        <v>41</v>
      </c>
      <c r="K96" s="79" t="s">
        <v>42</v>
      </c>
      <c r="L96" s="88"/>
      <c r="M96" s="89"/>
      <c r="N96" s="77"/>
      <c r="O96" s="94"/>
    </row>
    <row r="97" spans="1:15" ht="16.5" customHeight="1">
      <c r="A97" s="119">
        <v>46212</v>
      </c>
      <c r="B97" s="79" t="s">
        <v>48</v>
      </c>
      <c r="C97" s="79" t="s">
        <v>59</v>
      </c>
      <c r="D97" s="86"/>
      <c r="E97" s="86">
        <v>9200</v>
      </c>
      <c r="F97" s="86"/>
      <c r="G97" s="82">
        <f>G96+Table_1[[#This Row],[수입]]-Table_1[[#This Row],[지출]]</f>
        <v>26303651</v>
      </c>
      <c r="H97" s="87" t="s">
        <v>171</v>
      </c>
      <c r="I97" s="88" t="s">
        <v>172</v>
      </c>
      <c r="J97" s="79" t="s">
        <v>41</v>
      </c>
      <c r="K97" s="79" t="s">
        <v>42</v>
      </c>
      <c r="L97" s="88"/>
      <c r="M97" s="89"/>
      <c r="N97" s="77"/>
      <c r="O97" s="94"/>
    </row>
    <row r="98" spans="1:15" ht="16.5" customHeight="1">
      <c r="A98" s="119">
        <v>46213</v>
      </c>
      <c r="B98" s="79" t="s">
        <v>48</v>
      </c>
      <c r="C98" s="79" t="s">
        <v>59</v>
      </c>
      <c r="D98" s="86"/>
      <c r="E98" s="86">
        <v>12000</v>
      </c>
      <c r="F98" s="86"/>
      <c r="G98" s="82">
        <f>G97+Table_1[[#This Row],[수입]]-Table_1[[#This Row],[지출]]</f>
        <v>26291651</v>
      </c>
      <c r="H98" s="87" t="s">
        <v>173</v>
      </c>
      <c r="I98" s="88" t="s">
        <v>174</v>
      </c>
      <c r="J98" s="79" t="s">
        <v>23</v>
      </c>
      <c r="K98" s="79" t="s">
        <v>24</v>
      </c>
      <c r="L98" s="88"/>
      <c r="M98" s="89"/>
      <c r="N98" s="77"/>
      <c r="O98" s="94"/>
    </row>
    <row r="99" spans="1:15" ht="16.5" customHeight="1">
      <c r="A99" s="119">
        <v>46214</v>
      </c>
      <c r="B99" s="79" t="s">
        <v>48</v>
      </c>
      <c r="C99" s="79" t="s">
        <v>49</v>
      </c>
      <c r="D99" s="86"/>
      <c r="E99" s="86">
        <v>200000</v>
      </c>
      <c r="F99" s="86"/>
      <c r="G99" s="82">
        <f>G98+Table_1[[#This Row],[수입]]-Table_1[[#This Row],[지출]]</f>
        <v>26091651</v>
      </c>
      <c r="H99" s="87" t="s">
        <v>175</v>
      </c>
      <c r="I99" s="88" t="s">
        <v>176</v>
      </c>
      <c r="J99" s="79" t="s">
        <v>41</v>
      </c>
      <c r="K99" s="79" t="s">
        <v>42</v>
      </c>
      <c r="L99" s="88"/>
      <c r="M99" s="89"/>
      <c r="N99" s="77"/>
      <c r="O99" s="94"/>
    </row>
    <row r="100" spans="1:15" ht="16.5" customHeight="1">
      <c r="A100" s="119">
        <v>46216</v>
      </c>
      <c r="B100" s="79" t="s">
        <v>48</v>
      </c>
      <c r="C100" s="79" t="s">
        <v>59</v>
      </c>
      <c r="D100" s="86"/>
      <c r="E100" s="86">
        <v>51600</v>
      </c>
      <c r="F100" s="86"/>
      <c r="G100" s="82">
        <f>G99+Table_1[[#This Row],[수입]]-Table_1[[#This Row],[지출]]</f>
        <v>26040051</v>
      </c>
      <c r="H100" s="87" t="s">
        <v>177</v>
      </c>
      <c r="I100" s="88" t="s">
        <v>178</v>
      </c>
      <c r="J100" s="79" t="s">
        <v>34</v>
      </c>
      <c r="K100" s="79" t="s">
        <v>24</v>
      </c>
      <c r="L100" s="88"/>
      <c r="M100" s="89"/>
      <c r="N100" s="77"/>
      <c r="O100" s="94"/>
    </row>
    <row r="101" spans="1:15" ht="16.5" customHeight="1">
      <c r="A101" s="119">
        <v>46216</v>
      </c>
      <c r="B101" s="79" t="s">
        <v>48</v>
      </c>
      <c r="C101" s="79" t="s">
        <v>59</v>
      </c>
      <c r="D101" s="86"/>
      <c r="E101" s="86">
        <v>15600</v>
      </c>
      <c r="F101" s="86"/>
      <c r="G101" s="82">
        <f>G100+Table_1[[#This Row],[수입]]-Table_1[[#This Row],[지출]]</f>
        <v>26024451</v>
      </c>
      <c r="H101" s="87" t="s">
        <v>179</v>
      </c>
      <c r="I101" s="88" t="s">
        <v>178</v>
      </c>
      <c r="J101" s="79" t="s">
        <v>37</v>
      </c>
      <c r="K101" s="79" t="s">
        <v>24</v>
      </c>
      <c r="L101" s="88"/>
      <c r="M101" s="89"/>
      <c r="N101" s="77"/>
      <c r="O101" s="94"/>
    </row>
    <row r="102" spans="1:15" ht="16.5" customHeight="1">
      <c r="A102" s="119">
        <v>46217</v>
      </c>
      <c r="B102" s="79" t="s">
        <v>48</v>
      </c>
      <c r="C102" s="79" t="s">
        <v>59</v>
      </c>
      <c r="D102" s="86"/>
      <c r="E102" s="86">
        <v>59000</v>
      </c>
      <c r="F102" s="86"/>
      <c r="G102" s="82">
        <f>G101+Table_1[[#This Row],[수입]]-Table_1[[#This Row],[지출]]</f>
        <v>25965451</v>
      </c>
      <c r="H102" s="87" t="s">
        <v>180</v>
      </c>
      <c r="I102" s="88" t="s">
        <v>181</v>
      </c>
      <c r="J102" s="79" t="s">
        <v>41</v>
      </c>
      <c r="K102" s="79" t="s">
        <v>42</v>
      </c>
      <c r="L102" s="88"/>
      <c r="M102" s="89"/>
      <c r="N102" s="77"/>
      <c r="O102" s="94"/>
    </row>
    <row r="103" spans="1:15" ht="16.5" customHeight="1">
      <c r="A103" s="119">
        <v>46217</v>
      </c>
      <c r="B103" s="79" t="s">
        <v>48</v>
      </c>
      <c r="C103" s="79" t="s">
        <v>59</v>
      </c>
      <c r="D103" s="86"/>
      <c r="E103" s="86">
        <v>5800</v>
      </c>
      <c r="F103" s="86"/>
      <c r="G103" s="82">
        <f>G102+Table_1[[#This Row],[수입]]-Table_1[[#This Row],[지출]]</f>
        <v>25959651</v>
      </c>
      <c r="H103" s="87" t="s">
        <v>182</v>
      </c>
      <c r="I103" s="88" t="s">
        <v>181</v>
      </c>
      <c r="J103" s="79" t="s">
        <v>37</v>
      </c>
      <c r="K103" s="79" t="s">
        <v>24</v>
      </c>
      <c r="L103" s="88"/>
      <c r="M103" s="89"/>
      <c r="N103" s="77"/>
      <c r="O103" s="94"/>
    </row>
    <row r="104" spans="1:15" ht="16.5" customHeight="1">
      <c r="A104" s="119">
        <v>46218</v>
      </c>
      <c r="B104" s="79" t="s">
        <v>55</v>
      </c>
      <c r="C104" s="79" t="s">
        <v>56</v>
      </c>
      <c r="D104" s="86"/>
      <c r="E104" s="86">
        <v>60000</v>
      </c>
      <c r="F104" s="86"/>
      <c r="G104" s="82">
        <f>G103+Table_1[[#This Row],[수입]]-Table_1[[#This Row],[지출]]</f>
        <v>25899651</v>
      </c>
      <c r="H104" s="87" t="s">
        <v>183</v>
      </c>
      <c r="I104" s="88" t="s">
        <v>184</v>
      </c>
      <c r="J104" s="79" t="s">
        <v>41</v>
      </c>
      <c r="K104" s="79" t="s">
        <v>42</v>
      </c>
      <c r="L104" s="88"/>
      <c r="M104" s="89"/>
      <c r="N104" s="77"/>
      <c r="O104" s="94"/>
    </row>
    <row r="105" spans="1:15" ht="16.5" customHeight="1">
      <c r="A105" s="119">
        <v>46218</v>
      </c>
      <c r="B105" s="79" t="s">
        <v>55</v>
      </c>
      <c r="C105" s="79" t="s">
        <v>56</v>
      </c>
      <c r="D105" s="86"/>
      <c r="E105" s="86">
        <v>40400</v>
      </c>
      <c r="F105" s="86"/>
      <c r="G105" s="82">
        <f>G104+Table_1[[#This Row],[수입]]-Table_1[[#This Row],[지출]]</f>
        <v>25859251</v>
      </c>
      <c r="H105" s="87" t="s">
        <v>185</v>
      </c>
      <c r="I105" s="88" t="s">
        <v>184</v>
      </c>
      <c r="J105" s="79" t="s">
        <v>37</v>
      </c>
      <c r="K105" s="79" t="s">
        <v>24</v>
      </c>
      <c r="L105" s="88"/>
      <c r="M105" s="89"/>
      <c r="N105" s="77"/>
      <c r="O105" s="94"/>
    </row>
    <row r="106" spans="1:15" ht="16.5" customHeight="1">
      <c r="A106" s="119">
        <v>46218</v>
      </c>
      <c r="B106" s="79" t="s">
        <v>48</v>
      </c>
      <c r="C106" s="79" t="s">
        <v>59</v>
      </c>
      <c r="D106" s="86"/>
      <c r="E106" s="86">
        <v>12600</v>
      </c>
      <c r="F106" s="86"/>
      <c r="G106" s="82">
        <f>G105+Table_1[[#This Row],[수입]]-Table_1[[#This Row],[지출]]</f>
        <v>25846651</v>
      </c>
      <c r="H106" s="87" t="s">
        <v>186</v>
      </c>
      <c r="I106" s="88" t="s">
        <v>184</v>
      </c>
      <c r="J106" s="79" t="s">
        <v>23</v>
      </c>
      <c r="K106" s="79" t="s">
        <v>24</v>
      </c>
      <c r="L106" s="88"/>
      <c r="M106" s="89"/>
      <c r="N106" s="77"/>
      <c r="O106" s="94"/>
    </row>
    <row r="107" spans="1:15" ht="16.5" customHeight="1">
      <c r="A107" s="119">
        <v>46219</v>
      </c>
      <c r="B107" s="79" t="s">
        <v>48</v>
      </c>
      <c r="C107" s="79" t="s">
        <v>59</v>
      </c>
      <c r="D107" s="86"/>
      <c r="E107" s="86">
        <v>9400</v>
      </c>
      <c r="F107" s="86"/>
      <c r="G107" s="82">
        <f>G106+Table_1[[#This Row],[수입]]-Table_1[[#This Row],[지출]]</f>
        <v>25837251</v>
      </c>
      <c r="H107" s="87" t="s">
        <v>187</v>
      </c>
      <c r="I107" s="88" t="s">
        <v>188</v>
      </c>
      <c r="J107" s="79" t="s">
        <v>37</v>
      </c>
      <c r="K107" s="79" t="s">
        <v>24</v>
      </c>
      <c r="L107" s="88"/>
      <c r="M107" s="89"/>
      <c r="N107" s="77"/>
      <c r="O107" s="94"/>
    </row>
    <row r="108" spans="1:15" ht="16.5" customHeight="1">
      <c r="A108" s="119">
        <v>46223</v>
      </c>
      <c r="B108" s="79" t="s">
        <v>48</v>
      </c>
      <c r="C108" s="79" t="s">
        <v>59</v>
      </c>
      <c r="D108" s="86"/>
      <c r="E108" s="133">
        <v>47000</v>
      </c>
      <c r="F108" s="86"/>
      <c r="G108" s="82">
        <f>G107+Table_1[[#This Row],[수입]]-Table_1[[#This Row],[지출]]</f>
        <v>25790251</v>
      </c>
      <c r="H108" s="87" t="s">
        <v>189</v>
      </c>
      <c r="I108" s="88" t="s">
        <v>190</v>
      </c>
      <c r="J108" s="79" t="s">
        <v>41</v>
      </c>
      <c r="K108" s="79" t="s">
        <v>42</v>
      </c>
      <c r="L108" s="88"/>
      <c r="M108" s="89"/>
      <c r="N108" s="77"/>
      <c r="O108" s="94"/>
    </row>
    <row r="109" spans="1:15" ht="16.5" customHeight="1">
      <c r="A109" s="119">
        <v>46223</v>
      </c>
      <c r="B109" s="79" t="s">
        <v>48</v>
      </c>
      <c r="C109" s="79" t="s">
        <v>59</v>
      </c>
      <c r="D109" s="86"/>
      <c r="E109" s="133">
        <v>17300</v>
      </c>
      <c r="F109" s="86"/>
      <c r="G109" s="82">
        <f>G108+Table_1[[#This Row],[수입]]-Table_1[[#This Row],[지출]]</f>
        <v>25772951</v>
      </c>
      <c r="H109" s="87" t="s">
        <v>191</v>
      </c>
      <c r="I109" s="88" t="s">
        <v>190</v>
      </c>
      <c r="J109" s="79" t="s">
        <v>41</v>
      </c>
      <c r="K109" s="79" t="s">
        <v>42</v>
      </c>
      <c r="L109" s="88"/>
      <c r="M109" s="89"/>
      <c r="N109" s="77"/>
      <c r="O109" s="94"/>
    </row>
    <row r="110" spans="1:15" ht="16.5" customHeight="1">
      <c r="A110" s="119">
        <v>46223</v>
      </c>
      <c r="B110" s="79" t="s">
        <v>48</v>
      </c>
      <c r="C110" s="79" t="s">
        <v>59</v>
      </c>
      <c r="D110" s="86"/>
      <c r="E110" s="133">
        <v>70500</v>
      </c>
      <c r="F110" s="86"/>
      <c r="G110" s="82">
        <f>G109+Table_1[[#This Row],[수입]]-Table_1[[#This Row],[지출]]</f>
        <v>25702451</v>
      </c>
      <c r="H110" s="87" t="s">
        <v>192</v>
      </c>
      <c r="I110" s="88" t="s">
        <v>190</v>
      </c>
      <c r="J110" s="79" t="s">
        <v>41</v>
      </c>
      <c r="K110" s="79" t="s">
        <v>42</v>
      </c>
      <c r="L110" s="88"/>
      <c r="M110" s="89"/>
      <c r="N110" s="77"/>
      <c r="O110" s="94"/>
    </row>
    <row r="111" spans="1:15" ht="16.5" customHeight="1">
      <c r="A111" s="134">
        <v>46225</v>
      </c>
      <c r="B111" s="79" t="s">
        <v>48</v>
      </c>
      <c r="C111" s="136" t="s">
        <v>59</v>
      </c>
      <c r="D111" s="137"/>
      <c r="E111" s="138">
        <v>24700</v>
      </c>
      <c r="F111" s="86"/>
      <c r="G111" s="82">
        <f>G110+Table_1[[#This Row],[수입]]-Table_1[[#This Row],[지출]]</f>
        <v>25677751</v>
      </c>
      <c r="H111" s="148" t="s">
        <v>193</v>
      </c>
      <c r="I111" s="88" t="s">
        <v>194</v>
      </c>
      <c r="J111" s="79" t="s">
        <v>41</v>
      </c>
      <c r="K111" s="79" t="s">
        <v>42</v>
      </c>
      <c r="L111" s="88"/>
      <c r="M111" s="89"/>
      <c r="N111" s="77"/>
      <c r="O111" s="94"/>
    </row>
    <row r="112" spans="1:15" ht="16.5" customHeight="1">
      <c r="A112" s="139">
        <v>46225</v>
      </c>
      <c r="B112" s="79" t="s">
        <v>48</v>
      </c>
      <c r="C112" s="140" t="s">
        <v>59</v>
      </c>
      <c r="D112" s="141"/>
      <c r="E112" s="142">
        <v>15600</v>
      </c>
      <c r="F112" s="86"/>
      <c r="G112" s="82">
        <f>G111+Table_1[[#This Row],[수입]]-Table_1[[#This Row],[지출]]</f>
        <v>25662151</v>
      </c>
      <c r="H112" s="149" t="s">
        <v>195</v>
      </c>
      <c r="I112" s="88" t="s">
        <v>194</v>
      </c>
      <c r="J112" s="79" t="s">
        <v>41</v>
      </c>
      <c r="K112" s="79" t="s">
        <v>42</v>
      </c>
      <c r="L112" s="88"/>
      <c r="M112" s="89"/>
      <c r="N112" s="77"/>
      <c r="O112" s="94"/>
    </row>
    <row r="113" spans="1:15" ht="16.5" customHeight="1">
      <c r="A113" s="139">
        <v>46226</v>
      </c>
      <c r="B113" s="79" t="s">
        <v>48</v>
      </c>
      <c r="C113" s="140" t="s">
        <v>59</v>
      </c>
      <c r="D113" s="143"/>
      <c r="E113" s="142">
        <v>8400</v>
      </c>
      <c r="F113" s="86"/>
      <c r="G113" s="82">
        <f>G112+Table_1[[#This Row],[수입]]-Table_1[[#This Row],[지출]]</f>
        <v>25653751</v>
      </c>
      <c r="H113" s="150" t="s">
        <v>196</v>
      </c>
      <c r="I113" s="88" t="s">
        <v>197</v>
      </c>
      <c r="J113" s="79" t="s">
        <v>37</v>
      </c>
      <c r="K113" s="79" t="s">
        <v>24</v>
      </c>
      <c r="L113" s="88"/>
      <c r="M113" s="89"/>
      <c r="N113" s="77"/>
      <c r="O113" s="94"/>
    </row>
    <row r="114" spans="1:15" ht="16.5" customHeight="1">
      <c r="A114" s="139">
        <v>46226</v>
      </c>
      <c r="B114" s="79" t="s">
        <v>48</v>
      </c>
      <c r="C114" s="140" t="s">
        <v>59</v>
      </c>
      <c r="D114" s="143"/>
      <c r="E114" s="142">
        <v>8400</v>
      </c>
      <c r="F114" s="86"/>
      <c r="G114" s="82">
        <f>G113+Table_1[[#This Row],[수입]]-Table_1[[#This Row],[지출]]</f>
        <v>25645351</v>
      </c>
      <c r="H114" s="150" t="s">
        <v>196</v>
      </c>
      <c r="I114" s="88" t="s">
        <v>197</v>
      </c>
      <c r="J114" s="135" t="s">
        <v>37</v>
      </c>
      <c r="K114" s="135" t="s">
        <v>24</v>
      </c>
      <c r="L114" s="88"/>
      <c r="M114" s="89"/>
      <c r="N114" s="77"/>
      <c r="O114" s="94"/>
    </row>
    <row r="115" spans="1:15" ht="16.5" customHeight="1">
      <c r="A115" s="139">
        <v>46227</v>
      </c>
      <c r="B115" s="79" t="s">
        <v>48</v>
      </c>
      <c r="C115" s="140" t="s">
        <v>59</v>
      </c>
      <c r="D115" s="143"/>
      <c r="E115" s="142">
        <v>9400</v>
      </c>
      <c r="F115" s="86"/>
      <c r="G115" s="82">
        <f>G114+Table_1[[#This Row],[수입]]-Table_1[[#This Row],[지출]]</f>
        <v>25635951</v>
      </c>
      <c r="H115" s="150" t="s">
        <v>198</v>
      </c>
      <c r="I115" s="152" t="s">
        <v>194</v>
      </c>
      <c r="J115" s="140" t="s">
        <v>41</v>
      </c>
      <c r="K115" s="140" t="s">
        <v>42</v>
      </c>
      <c r="L115" s="88"/>
      <c r="M115" s="89"/>
      <c r="N115" s="77"/>
      <c r="O115" s="94"/>
    </row>
    <row r="116" spans="1:15" ht="16.5" customHeight="1">
      <c r="A116" s="139">
        <v>46230</v>
      </c>
      <c r="B116" s="79" t="s">
        <v>4</v>
      </c>
      <c r="C116" s="140" t="s">
        <v>17</v>
      </c>
      <c r="D116" s="143">
        <v>1865000</v>
      </c>
      <c r="E116" s="142"/>
      <c r="F116" s="86"/>
      <c r="G116" s="82">
        <f>G115+Table_1[[#This Row],[수입]]-Table_1[[#This Row],[지출]]</f>
        <v>27500951</v>
      </c>
      <c r="H116" s="150" t="s">
        <v>199</v>
      </c>
      <c r="I116" s="152"/>
      <c r="J116" s="140"/>
      <c r="K116" s="140"/>
      <c r="L116" s="88"/>
      <c r="M116" s="89"/>
      <c r="N116" s="77"/>
      <c r="O116" s="94"/>
    </row>
    <row r="117" spans="1:15" ht="16.5" customHeight="1">
      <c r="A117" s="139">
        <v>46231</v>
      </c>
      <c r="B117" s="79" t="s">
        <v>48</v>
      </c>
      <c r="C117" s="140" t="s">
        <v>59</v>
      </c>
      <c r="D117" s="143"/>
      <c r="E117" s="142">
        <v>23200</v>
      </c>
      <c r="F117" s="86"/>
      <c r="G117" s="82">
        <f>G116+Table_1[[#This Row],[수입]]-Table_1[[#This Row],[지출]]</f>
        <v>27477751</v>
      </c>
      <c r="H117" s="150" t="s">
        <v>200</v>
      </c>
      <c r="I117" s="152" t="s">
        <v>194</v>
      </c>
      <c r="J117" s="140" t="s">
        <v>41</v>
      </c>
      <c r="K117" s="140" t="s">
        <v>42</v>
      </c>
      <c r="L117" s="88"/>
      <c r="M117" s="89"/>
      <c r="N117" s="77"/>
      <c r="O117" s="94"/>
    </row>
    <row r="118" spans="1:15" ht="16.5" customHeight="1">
      <c r="A118" s="144">
        <v>46231</v>
      </c>
      <c r="B118" s="79" t="s">
        <v>48</v>
      </c>
      <c r="C118" s="145" t="s">
        <v>59</v>
      </c>
      <c r="D118" s="146"/>
      <c r="E118" s="147">
        <v>114000</v>
      </c>
      <c r="F118" s="86"/>
      <c r="G118" s="82">
        <f>G117+Table_1[[#This Row],[수입]]-Table_1[[#This Row],[지출]]</f>
        <v>27363751</v>
      </c>
      <c r="H118" s="151" t="s">
        <v>201</v>
      </c>
      <c r="I118" s="152" t="s">
        <v>202</v>
      </c>
      <c r="J118" s="135" t="s">
        <v>23</v>
      </c>
      <c r="K118" s="135" t="s">
        <v>24</v>
      </c>
      <c r="L118" s="88"/>
      <c r="M118" s="89"/>
      <c r="N118" s="77"/>
      <c r="O118" s="94"/>
    </row>
    <row r="119" spans="1:15" ht="16.5" customHeight="1">
      <c r="A119" s="139">
        <v>46233</v>
      </c>
      <c r="B119" s="79" t="s">
        <v>48</v>
      </c>
      <c r="C119" s="140" t="s">
        <v>59</v>
      </c>
      <c r="D119" s="143"/>
      <c r="E119" s="142">
        <v>32700</v>
      </c>
      <c r="F119" s="86"/>
      <c r="G119" s="82">
        <f>G118+Table_1[[#This Row],[수입]]-Table_1[[#This Row],[지출]]</f>
        <v>27331051</v>
      </c>
      <c r="H119" s="150" t="s">
        <v>203</v>
      </c>
      <c r="I119" s="152" t="s">
        <v>204</v>
      </c>
      <c r="J119" s="140" t="s">
        <v>37</v>
      </c>
      <c r="K119" s="140" t="s">
        <v>24</v>
      </c>
      <c r="L119" s="88"/>
      <c r="M119" s="89"/>
      <c r="N119" s="77"/>
      <c r="O119" s="94"/>
    </row>
    <row r="120" spans="1:15" ht="16.5" customHeight="1">
      <c r="A120" s="139">
        <v>46238</v>
      </c>
      <c r="B120" s="79" t="s">
        <v>48</v>
      </c>
      <c r="C120" s="140" t="s">
        <v>59</v>
      </c>
      <c r="D120" s="143"/>
      <c r="E120" s="142">
        <v>14800</v>
      </c>
      <c r="F120" s="86"/>
      <c r="G120" s="82">
        <f>G119+Table_1[[#This Row],[수입]]-Table_1[[#This Row],[지출]]</f>
        <v>27316251</v>
      </c>
      <c r="H120" s="150" t="s">
        <v>205</v>
      </c>
      <c r="I120" s="152" t="s">
        <v>206</v>
      </c>
      <c r="J120" s="140" t="s">
        <v>41</v>
      </c>
      <c r="K120" s="140" t="s">
        <v>42</v>
      </c>
      <c r="L120" s="88"/>
      <c r="M120" s="89"/>
      <c r="N120" s="77"/>
      <c r="O120" s="94"/>
    </row>
    <row r="121" spans="1:15" ht="16.5" customHeight="1">
      <c r="A121" s="139">
        <v>46238</v>
      </c>
      <c r="B121" s="79" t="s">
        <v>48</v>
      </c>
      <c r="C121" s="140" t="s">
        <v>59</v>
      </c>
      <c r="D121" s="143"/>
      <c r="E121" s="142">
        <v>11900</v>
      </c>
      <c r="F121" s="86"/>
      <c r="G121" s="82">
        <f>G120+Table_1[[#This Row],[수입]]-Table_1[[#This Row],[지출]]</f>
        <v>27304351</v>
      </c>
      <c r="H121" s="150" t="s">
        <v>205</v>
      </c>
      <c r="I121" s="152" t="s">
        <v>206</v>
      </c>
      <c r="J121" s="140" t="s">
        <v>41</v>
      </c>
      <c r="K121" s="140" t="s">
        <v>42</v>
      </c>
      <c r="L121" s="88"/>
      <c r="M121" s="89"/>
      <c r="N121" s="77"/>
      <c r="O121" s="94"/>
    </row>
    <row r="122" spans="1:15" ht="16.5" customHeight="1">
      <c r="A122" s="139">
        <v>46239</v>
      </c>
      <c r="B122" s="79" t="s">
        <v>48</v>
      </c>
      <c r="C122" s="140" t="s">
        <v>59</v>
      </c>
      <c r="D122" s="143"/>
      <c r="E122" s="142">
        <v>47000</v>
      </c>
      <c r="F122" s="86"/>
      <c r="G122" s="82">
        <f>G121+Table_1[[#This Row],[수입]]-Table_1[[#This Row],[지출]]</f>
        <v>27257351</v>
      </c>
      <c r="H122" s="150" t="s">
        <v>207</v>
      </c>
      <c r="I122" s="152" t="s">
        <v>208</v>
      </c>
      <c r="J122" s="140" t="s">
        <v>41</v>
      </c>
      <c r="K122" s="140" t="s">
        <v>42</v>
      </c>
      <c r="L122" s="88"/>
      <c r="M122" s="89"/>
      <c r="N122" s="77"/>
      <c r="O122" s="94"/>
    </row>
    <row r="123" spans="1:15" ht="16.5" customHeight="1">
      <c r="A123" s="139">
        <v>46241</v>
      </c>
      <c r="B123" s="79" t="s">
        <v>48</v>
      </c>
      <c r="C123" s="140" t="s">
        <v>59</v>
      </c>
      <c r="D123" s="143"/>
      <c r="E123" s="142">
        <v>14100</v>
      </c>
      <c r="F123" s="86"/>
      <c r="G123" s="82">
        <f>G122+Table_1[[#This Row],[수입]]-Table_1[[#This Row],[지출]]</f>
        <v>27243251</v>
      </c>
      <c r="H123" s="150" t="s">
        <v>198</v>
      </c>
      <c r="I123" s="152" t="s">
        <v>209</v>
      </c>
      <c r="J123" s="140" t="s">
        <v>41</v>
      </c>
      <c r="K123" s="140" t="s">
        <v>42</v>
      </c>
      <c r="L123" s="88"/>
      <c r="M123" s="89"/>
      <c r="N123" s="77"/>
      <c r="O123" s="94"/>
    </row>
    <row r="124" spans="1:15" ht="16.5" customHeight="1">
      <c r="A124" s="139">
        <v>46245</v>
      </c>
      <c r="B124" s="79" t="s">
        <v>48</v>
      </c>
      <c r="C124" s="140" t="s">
        <v>59</v>
      </c>
      <c r="D124" s="143"/>
      <c r="E124" s="142">
        <v>21000</v>
      </c>
      <c r="F124" s="86"/>
      <c r="G124" s="82">
        <f>G123+Table_1[[#This Row],[수입]]-Table_1[[#This Row],[지출]]</f>
        <v>27222251</v>
      </c>
      <c r="H124" s="150" t="s">
        <v>210</v>
      </c>
      <c r="I124" s="152" t="s">
        <v>211</v>
      </c>
      <c r="J124" s="140" t="s">
        <v>23</v>
      </c>
      <c r="K124" s="140" t="s">
        <v>24</v>
      </c>
      <c r="L124" s="88"/>
      <c r="M124" s="89"/>
      <c r="N124" s="77"/>
      <c r="O124" s="94"/>
    </row>
    <row r="125" spans="1:15" ht="16.5" customHeight="1">
      <c r="A125" s="139">
        <v>46245</v>
      </c>
      <c r="B125" s="79" t="s">
        <v>48</v>
      </c>
      <c r="C125" s="140" t="s">
        <v>59</v>
      </c>
      <c r="D125" s="143"/>
      <c r="E125" s="142">
        <v>16680</v>
      </c>
      <c r="F125" s="86"/>
      <c r="G125" s="82">
        <f>G124+Table_1[[#This Row],[수입]]-Table_1[[#This Row],[지출]]</f>
        <v>27205571</v>
      </c>
      <c r="H125" s="150" t="s">
        <v>212</v>
      </c>
      <c r="I125" s="152" t="s">
        <v>211</v>
      </c>
      <c r="J125" s="140" t="s">
        <v>41</v>
      </c>
      <c r="K125" s="140" t="s">
        <v>42</v>
      </c>
      <c r="L125" s="88"/>
      <c r="M125" s="89"/>
      <c r="N125" s="77"/>
      <c r="O125" s="94"/>
    </row>
    <row r="126" spans="1:15" ht="16.5" customHeight="1">
      <c r="A126" s="139">
        <v>46246</v>
      </c>
      <c r="B126" s="79" t="s">
        <v>48</v>
      </c>
      <c r="C126" s="140" t="s">
        <v>59</v>
      </c>
      <c r="D126" s="143"/>
      <c r="E126" s="142">
        <v>8000</v>
      </c>
      <c r="F126" s="86"/>
      <c r="G126" s="82">
        <f>G125+Table_1[[#This Row],[수입]]-Table_1[[#This Row],[지출]]</f>
        <v>27197571</v>
      </c>
      <c r="H126" s="150" t="s">
        <v>213</v>
      </c>
      <c r="I126" s="152" t="s">
        <v>214</v>
      </c>
      <c r="J126" s="140" t="s">
        <v>41</v>
      </c>
      <c r="K126" s="140" t="s">
        <v>42</v>
      </c>
      <c r="L126" s="88"/>
      <c r="M126" s="89"/>
      <c r="N126" s="77"/>
      <c r="O126" s="94"/>
    </row>
    <row r="127" spans="1:15" ht="16.5" customHeight="1">
      <c r="A127" s="139">
        <v>46246</v>
      </c>
      <c r="B127" s="79" t="s">
        <v>48</v>
      </c>
      <c r="C127" s="140" t="s">
        <v>59</v>
      </c>
      <c r="D127" s="143"/>
      <c r="E127" s="142">
        <v>13000</v>
      </c>
      <c r="F127" s="86"/>
      <c r="G127" s="82">
        <f>G126+Table_1[[#This Row],[수입]]-Table_1[[#This Row],[지출]]</f>
        <v>27184571</v>
      </c>
      <c r="H127" s="150" t="s">
        <v>215</v>
      </c>
      <c r="I127" s="152" t="s">
        <v>214</v>
      </c>
      <c r="J127" s="140" t="s">
        <v>41</v>
      </c>
      <c r="K127" s="140" t="s">
        <v>42</v>
      </c>
      <c r="L127" s="88"/>
      <c r="M127" s="89"/>
      <c r="N127" s="77"/>
      <c r="O127" s="94"/>
    </row>
    <row r="128" spans="1:15" ht="16.5" customHeight="1">
      <c r="A128" s="139">
        <v>46246</v>
      </c>
      <c r="B128" s="79" t="s">
        <v>48</v>
      </c>
      <c r="C128" s="140" t="s">
        <v>59</v>
      </c>
      <c r="D128" s="143"/>
      <c r="E128" s="142">
        <v>14900</v>
      </c>
      <c r="F128" s="86"/>
      <c r="G128" s="82">
        <f>G127+Table_1[[#This Row],[수입]]-Table_1[[#This Row],[지출]]</f>
        <v>27169671</v>
      </c>
      <c r="H128" s="150" t="s">
        <v>216</v>
      </c>
      <c r="I128" s="152" t="s">
        <v>214</v>
      </c>
      <c r="J128" s="140" t="s">
        <v>41</v>
      </c>
      <c r="K128" s="140" t="s">
        <v>42</v>
      </c>
      <c r="L128" s="88"/>
      <c r="M128" s="89"/>
      <c r="N128" s="77"/>
      <c r="O128" s="94"/>
    </row>
    <row r="129" spans="1:15" ht="16.5" customHeight="1">
      <c r="A129" s="139">
        <v>46246</v>
      </c>
      <c r="B129" s="79" t="s">
        <v>55</v>
      </c>
      <c r="C129" s="140" t="s">
        <v>56</v>
      </c>
      <c r="D129" s="143"/>
      <c r="E129" s="142">
        <v>298500</v>
      </c>
      <c r="F129" s="86"/>
      <c r="G129" s="82">
        <f>G128+Table_1[[#This Row],[수입]]-Table_1[[#This Row],[지출]]</f>
        <v>26871171</v>
      </c>
      <c r="H129" s="150" t="s">
        <v>217</v>
      </c>
      <c r="I129" s="152" t="s">
        <v>214</v>
      </c>
      <c r="J129" s="140" t="s">
        <v>41</v>
      </c>
      <c r="K129" s="140" t="s">
        <v>42</v>
      </c>
      <c r="L129" s="88"/>
      <c r="M129" s="89"/>
      <c r="N129" s="77"/>
      <c r="O129" s="94"/>
    </row>
    <row r="130" spans="1:15" ht="16.5" customHeight="1">
      <c r="A130" s="139">
        <v>46252</v>
      </c>
      <c r="B130" s="79" t="s">
        <v>48</v>
      </c>
      <c r="C130" s="140" t="s">
        <v>59</v>
      </c>
      <c r="D130" s="143"/>
      <c r="E130" s="142">
        <v>12600</v>
      </c>
      <c r="F130" s="86"/>
      <c r="G130" s="82">
        <f>G129+Table_1[[#This Row],[수입]]-Table_1[[#This Row],[지출]]</f>
        <v>26858571</v>
      </c>
      <c r="H130" s="150" t="s">
        <v>168</v>
      </c>
      <c r="I130" s="152" t="s">
        <v>218</v>
      </c>
      <c r="J130" s="140" t="s">
        <v>23</v>
      </c>
      <c r="K130" s="140" t="s">
        <v>24</v>
      </c>
      <c r="L130" s="88"/>
      <c r="M130" s="89"/>
      <c r="N130" s="77"/>
      <c r="O130" s="94"/>
    </row>
    <row r="131" spans="1:15" ht="16.5" customHeight="1">
      <c r="A131" s="139">
        <v>46253</v>
      </c>
      <c r="B131" s="79" t="s">
        <v>219</v>
      </c>
      <c r="C131" s="140" t="s">
        <v>220</v>
      </c>
      <c r="D131" s="143"/>
      <c r="E131" s="142">
        <v>135000</v>
      </c>
      <c r="F131" s="86"/>
      <c r="G131" s="82">
        <f>G130+Table_1[[#This Row],[수입]]-Table_1[[#This Row],[지출]]</f>
        <v>26723571</v>
      </c>
      <c r="H131" s="150" t="s">
        <v>221</v>
      </c>
      <c r="I131" s="152" t="s">
        <v>218</v>
      </c>
      <c r="J131" s="140" t="s">
        <v>37</v>
      </c>
      <c r="K131" s="140" t="s">
        <v>24</v>
      </c>
      <c r="L131" s="88"/>
      <c r="M131" s="89"/>
      <c r="N131" s="77"/>
      <c r="O131" s="94"/>
    </row>
    <row r="132" spans="1:15" ht="16.5" customHeight="1">
      <c r="A132" s="139">
        <v>46253</v>
      </c>
      <c r="B132" s="79" t="s">
        <v>222</v>
      </c>
      <c r="C132" s="140" t="s">
        <v>223</v>
      </c>
      <c r="D132" s="143"/>
      <c r="E132" s="142">
        <v>135000</v>
      </c>
      <c r="F132" s="86"/>
      <c r="G132" s="82">
        <f>G131+Table_1[[#This Row],[수입]]-Table_1[[#This Row],[지출]]</f>
        <v>26588571</v>
      </c>
      <c r="H132" s="150" t="s">
        <v>224</v>
      </c>
      <c r="I132" s="152" t="s">
        <v>218</v>
      </c>
      <c r="J132" s="140" t="s">
        <v>37</v>
      </c>
      <c r="K132" s="140" t="s">
        <v>24</v>
      </c>
      <c r="L132" s="88"/>
      <c r="M132" s="89"/>
      <c r="N132" s="77"/>
      <c r="O132" s="94"/>
    </row>
    <row r="133" spans="1:15" ht="16.5" customHeight="1">
      <c r="A133" s="139">
        <v>46253</v>
      </c>
      <c r="B133" s="79" t="s">
        <v>48</v>
      </c>
      <c r="C133" s="140" t="s">
        <v>59</v>
      </c>
      <c r="D133" s="143"/>
      <c r="E133" s="142">
        <v>19400</v>
      </c>
      <c r="F133" s="86"/>
      <c r="G133" s="82">
        <f>G132+Table_1[[#This Row],[수입]]-Table_1[[#This Row],[지출]]</f>
        <v>26569171</v>
      </c>
      <c r="H133" s="150" t="s">
        <v>225</v>
      </c>
      <c r="I133" s="152" t="s">
        <v>226</v>
      </c>
      <c r="J133" s="140" t="s">
        <v>23</v>
      </c>
      <c r="K133" s="140" t="s">
        <v>24</v>
      </c>
      <c r="L133" s="88"/>
      <c r="M133" s="89"/>
      <c r="N133" s="77"/>
      <c r="O133" s="94"/>
    </row>
    <row r="134" spans="1:15" ht="16.5" customHeight="1">
      <c r="A134" s="139">
        <v>46254</v>
      </c>
      <c r="B134" s="79" t="s">
        <v>48</v>
      </c>
      <c r="C134" s="140" t="s">
        <v>59</v>
      </c>
      <c r="D134" s="143"/>
      <c r="E134" s="142">
        <v>44000</v>
      </c>
      <c r="F134" s="86"/>
      <c r="G134" s="82">
        <f>G133+Table_1[[#This Row],[수입]]-Table_1[[#This Row],[지출]]</f>
        <v>26525171</v>
      </c>
      <c r="H134" s="150" t="s">
        <v>227</v>
      </c>
      <c r="I134" s="152" t="s">
        <v>226</v>
      </c>
      <c r="J134" s="140" t="s">
        <v>41</v>
      </c>
      <c r="K134" s="140" t="s">
        <v>42</v>
      </c>
      <c r="L134" s="88"/>
      <c r="M134" s="89"/>
      <c r="N134" s="77"/>
      <c r="O134" s="94"/>
    </row>
    <row r="135" spans="1:15" ht="16.5" customHeight="1">
      <c r="A135" s="139">
        <v>46254</v>
      </c>
      <c r="B135" s="79" t="s">
        <v>48</v>
      </c>
      <c r="C135" s="140" t="s">
        <v>59</v>
      </c>
      <c r="D135" s="143"/>
      <c r="E135" s="142">
        <v>22800</v>
      </c>
      <c r="F135" s="86"/>
      <c r="G135" s="82">
        <f>G134+Table_1[[#This Row],[수입]]-Table_1[[#This Row],[지출]]</f>
        <v>26502371</v>
      </c>
      <c r="H135" s="150" t="s">
        <v>228</v>
      </c>
      <c r="I135" s="152" t="s">
        <v>229</v>
      </c>
      <c r="J135" s="140" t="s">
        <v>41</v>
      </c>
      <c r="K135" s="140" t="s">
        <v>42</v>
      </c>
      <c r="L135" s="88"/>
      <c r="M135" s="89"/>
      <c r="N135" s="77"/>
      <c r="O135" s="94"/>
    </row>
    <row r="136" spans="1:15" ht="16.5" customHeight="1">
      <c r="A136" s="139">
        <v>46259</v>
      </c>
      <c r="B136" s="79" t="s">
        <v>48</v>
      </c>
      <c r="C136" s="140" t="s">
        <v>59</v>
      </c>
      <c r="D136" s="143"/>
      <c r="E136" s="142">
        <v>11200</v>
      </c>
      <c r="F136" s="86"/>
      <c r="G136" s="82">
        <f>G135+Table_1[[#This Row],[수입]]-Table_1[[#This Row],[지출]]</f>
        <v>26491171</v>
      </c>
      <c r="H136" s="150" t="s">
        <v>230</v>
      </c>
      <c r="I136" s="152" t="s">
        <v>229</v>
      </c>
      <c r="J136" s="140" t="s">
        <v>41</v>
      </c>
      <c r="K136" s="140" t="s">
        <v>42</v>
      </c>
      <c r="L136" s="88"/>
      <c r="M136" s="89"/>
      <c r="N136" s="77"/>
      <c r="O136" s="94"/>
    </row>
    <row r="137" spans="1:15" ht="16.5" customHeight="1">
      <c r="A137" s="139">
        <v>46261</v>
      </c>
      <c r="B137" s="79" t="s">
        <v>48</v>
      </c>
      <c r="C137" s="140" t="s">
        <v>59</v>
      </c>
      <c r="D137" s="143"/>
      <c r="E137" s="142">
        <v>16500</v>
      </c>
      <c r="F137" s="86"/>
      <c r="G137" s="82">
        <f>G136+Table_1[[#This Row],[수입]]-Table_1[[#This Row],[지출]]</f>
        <v>26474671</v>
      </c>
      <c r="H137" s="150" t="s">
        <v>231</v>
      </c>
      <c r="I137" s="152" t="s">
        <v>232</v>
      </c>
      <c r="J137" s="140" t="s">
        <v>41</v>
      </c>
      <c r="K137" s="140" t="s">
        <v>42</v>
      </c>
      <c r="L137" s="88"/>
      <c r="M137" s="89"/>
      <c r="N137" s="77"/>
      <c r="O137" s="94"/>
    </row>
    <row r="138" spans="1:15" ht="16.5" customHeight="1">
      <c r="A138" s="139">
        <v>46261</v>
      </c>
      <c r="B138" s="79" t="s">
        <v>48</v>
      </c>
      <c r="C138" s="140" t="s">
        <v>59</v>
      </c>
      <c r="D138" s="143"/>
      <c r="E138" s="142">
        <v>39500</v>
      </c>
      <c r="F138" s="86"/>
      <c r="G138" s="82">
        <f>G137+Table_1[[#This Row],[수입]]-Table_1[[#This Row],[지출]]</f>
        <v>26435171</v>
      </c>
      <c r="H138" s="150" t="s">
        <v>233</v>
      </c>
      <c r="I138" s="152" t="s">
        <v>232</v>
      </c>
      <c r="J138" s="140" t="s">
        <v>41</v>
      </c>
      <c r="K138" s="140" t="s">
        <v>42</v>
      </c>
      <c r="L138" s="88"/>
      <c r="M138" s="89"/>
      <c r="N138" s="77"/>
      <c r="O138" s="94"/>
    </row>
    <row r="139" spans="1:15" ht="16.5" customHeight="1">
      <c r="A139" s="139">
        <v>46262</v>
      </c>
      <c r="B139" s="79" t="s">
        <v>4</v>
      </c>
      <c r="C139" s="140" t="s">
        <v>17</v>
      </c>
      <c r="D139" s="143">
        <v>1870000</v>
      </c>
      <c r="E139" s="142"/>
      <c r="F139" s="86"/>
      <c r="G139" s="82">
        <f>G138+Table_1[[#This Row],[수입]]-Table_1[[#This Row],[지출]]</f>
        <v>28305171</v>
      </c>
      <c r="H139" s="150" t="s">
        <v>199</v>
      </c>
      <c r="I139" s="152"/>
      <c r="J139" s="140"/>
      <c r="K139" s="140"/>
      <c r="L139" s="88"/>
      <c r="M139" s="89"/>
      <c r="N139" s="77"/>
      <c r="O139" s="94"/>
    </row>
    <row r="140" spans="1:15" ht="16.5" customHeight="1">
      <c r="A140" s="139">
        <v>46265</v>
      </c>
      <c r="B140" s="79" t="s">
        <v>4</v>
      </c>
      <c r="C140" s="79" t="s">
        <v>234</v>
      </c>
      <c r="D140" s="86">
        <v>3308400</v>
      </c>
      <c r="E140" s="86"/>
      <c r="F140" s="86"/>
      <c r="G140" s="82">
        <f>G139+Table_1[[#This Row],[수입]]-Table_1[[#This Row],[지출]]</f>
        <v>31613571</v>
      </c>
      <c r="H140" s="87"/>
      <c r="I140" s="88"/>
      <c r="J140" s="79"/>
      <c r="K140" s="79"/>
      <c r="L140" s="88"/>
      <c r="M140" s="89"/>
      <c r="N140" s="77"/>
      <c r="O140" s="94"/>
    </row>
    <row r="141" spans="1:15" ht="16.5" customHeight="1">
      <c r="A141" s="139">
        <v>46266</v>
      </c>
      <c r="B141" s="79" t="s">
        <v>48</v>
      </c>
      <c r="C141" s="140" t="s">
        <v>59</v>
      </c>
      <c r="D141" s="86"/>
      <c r="E141" s="86">
        <v>95000</v>
      </c>
      <c r="F141" s="86"/>
      <c r="G141" s="82">
        <f>G140+Table_1[[#This Row],[수입]]-Table_1[[#This Row],[지출]]</f>
        <v>31518571</v>
      </c>
      <c r="H141" s="87" t="s">
        <v>235</v>
      </c>
      <c r="I141" s="152" t="s">
        <v>236</v>
      </c>
      <c r="J141" s="140" t="s">
        <v>41</v>
      </c>
      <c r="K141" s="140" t="s">
        <v>42</v>
      </c>
      <c r="L141" s="88"/>
      <c r="M141" s="89"/>
      <c r="N141" s="77"/>
      <c r="O141" s="94"/>
    </row>
    <row r="142" spans="1:15" ht="16.5" customHeight="1">
      <c r="A142" s="139">
        <v>46266</v>
      </c>
      <c r="B142" s="79" t="s">
        <v>48</v>
      </c>
      <c r="C142" s="140" t="s">
        <v>59</v>
      </c>
      <c r="D142" s="86"/>
      <c r="E142" s="86">
        <v>17400</v>
      </c>
      <c r="F142" s="86"/>
      <c r="G142" s="82">
        <f>G141+Table_1[[#This Row],[수입]]-Table_1[[#This Row],[지출]]</f>
        <v>31501171</v>
      </c>
      <c r="H142" s="87" t="s">
        <v>237</v>
      </c>
      <c r="I142" s="152" t="s">
        <v>236</v>
      </c>
      <c r="J142" s="140" t="s">
        <v>41</v>
      </c>
      <c r="K142" s="140" t="s">
        <v>42</v>
      </c>
      <c r="L142" s="88"/>
      <c r="M142" s="89"/>
      <c r="N142" s="77"/>
      <c r="O142" s="94"/>
    </row>
    <row r="143" spans="1:15" ht="16.5" customHeight="1">
      <c r="A143" s="139">
        <v>46267</v>
      </c>
      <c r="B143" s="79" t="s">
        <v>48</v>
      </c>
      <c r="C143" s="140" t="s">
        <v>59</v>
      </c>
      <c r="D143" s="86"/>
      <c r="E143" s="86">
        <v>17200</v>
      </c>
      <c r="F143" s="86"/>
      <c r="G143" s="82">
        <f>G142+Table_1[[#This Row],[수입]]-Table_1[[#This Row],[지출]]</f>
        <v>31483971</v>
      </c>
      <c r="H143" s="87" t="s">
        <v>386</v>
      </c>
      <c r="I143" s="152" t="s">
        <v>387</v>
      </c>
      <c r="J143" s="140" t="s">
        <v>41</v>
      </c>
      <c r="K143" s="140" t="s">
        <v>42</v>
      </c>
      <c r="L143" s="88"/>
      <c r="M143" s="89"/>
      <c r="N143" s="77"/>
      <c r="O143" s="94"/>
    </row>
    <row r="144" spans="1:15" ht="16.5" customHeight="1">
      <c r="A144" s="139">
        <v>46269</v>
      </c>
      <c r="B144" s="79" t="s">
        <v>48</v>
      </c>
      <c r="C144" s="140" t="s">
        <v>59</v>
      </c>
      <c r="D144" s="86"/>
      <c r="E144" s="86">
        <v>12200</v>
      </c>
      <c r="F144" s="86"/>
      <c r="G144" s="82">
        <f>G143+Table_1[[#This Row],[수입]]-Table_1[[#This Row],[지출]]</f>
        <v>31471771</v>
      </c>
      <c r="H144" s="87" t="s">
        <v>388</v>
      </c>
      <c r="I144" s="152" t="s">
        <v>389</v>
      </c>
      <c r="J144" s="140" t="s">
        <v>41</v>
      </c>
      <c r="K144" s="140" t="s">
        <v>42</v>
      </c>
      <c r="L144" s="88"/>
      <c r="M144" s="89"/>
      <c r="N144" s="77"/>
      <c r="O144" s="94"/>
    </row>
    <row r="145" spans="1:15" ht="16.5" customHeight="1">
      <c r="A145" s="139">
        <v>46273</v>
      </c>
      <c r="B145" s="79" t="s">
        <v>48</v>
      </c>
      <c r="C145" s="140" t="s">
        <v>59</v>
      </c>
      <c r="D145" s="86"/>
      <c r="E145" s="86">
        <v>44500</v>
      </c>
      <c r="F145" s="86"/>
      <c r="G145" s="82">
        <f>G144+Table_1[[#This Row],[수입]]-Table_1[[#This Row],[지출]]</f>
        <v>31427271</v>
      </c>
      <c r="H145" s="87" t="s">
        <v>390</v>
      </c>
      <c r="I145" s="152" t="s">
        <v>391</v>
      </c>
      <c r="J145" s="140" t="s">
        <v>41</v>
      </c>
      <c r="K145" s="140" t="s">
        <v>42</v>
      </c>
      <c r="L145" s="88"/>
      <c r="M145" s="89"/>
      <c r="N145" s="77"/>
      <c r="O145" s="94"/>
    </row>
    <row r="146" spans="1:15" ht="16.5" customHeight="1">
      <c r="A146" s="139">
        <v>46273</v>
      </c>
      <c r="B146" s="79" t="s">
        <v>55</v>
      </c>
      <c r="C146" s="79" t="s">
        <v>244</v>
      </c>
      <c r="D146" s="86"/>
      <c r="E146" s="86">
        <v>376000</v>
      </c>
      <c r="F146" s="86"/>
      <c r="G146" s="82">
        <f>G145+Table_1[[#This Row],[수입]]-Table_1[[#This Row],[지출]]</f>
        <v>31051271</v>
      </c>
      <c r="H146" s="87" t="s">
        <v>392</v>
      </c>
      <c r="I146" s="152" t="s">
        <v>391</v>
      </c>
      <c r="J146" s="140" t="s">
        <v>37</v>
      </c>
      <c r="K146" s="140" t="s">
        <v>24</v>
      </c>
      <c r="L146" s="88"/>
      <c r="M146" s="89"/>
      <c r="N146" s="77"/>
      <c r="O146" s="94"/>
    </row>
    <row r="147" spans="1:15" ht="16.5" customHeight="1">
      <c r="A147" s="139">
        <v>46275</v>
      </c>
      <c r="B147" s="79" t="s">
        <v>48</v>
      </c>
      <c r="C147" s="140" t="s">
        <v>59</v>
      </c>
      <c r="D147" s="86"/>
      <c r="E147" s="86">
        <v>150000</v>
      </c>
      <c r="F147" s="86"/>
      <c r="G147" s="82">
        <f>G146+Table_1[[#This Row],[수입]]-Table_1[[#This Row],[지출]]</f>
        <v>30901271</v>
      </c>
      <c r="H147" s="87" t="s">
        <v>393</v>
      </c>
      <c r="I147" s="152" t="s">
        <v>394</v>
      </c>
      <c r="J147" s="140" t="s">
        <v>41</v>
      </c>
      <c r="K147" s="140" t="s">
        <v>42</v>
      </c>
      <c r="L147" s="88"/>
      <c r="M147" s="89"/>
      <c r="N147" s="77"/>
      <c r="O147" s="94"/>
    </row>
    <row r="148" spans="1:15" ht="16.5" customHeight="1">
      <c r="A148" s="119"/>
      <c r="B148" s="79"/>
      <c r="C148" s="79"/>
      <c r="D148" s="86"/>
      <c r="E148" s="86"/>
      <c r="F148" s="86"/>
      <c r="G148" s="82"/>
      <c r="H148" s="87"/>
      <c r="I148" s="88"/>
      <c r="J148" s="79"/>
      <c r="K148" s="79"/>
      <c r="L148" s="88"/>
      <c r="M148" s="89"/>
      <c r="N148" s="77"/>
      <c r="O148" s="94"/>
    </row>
    <row r="149" spans="1:15" ht="16.5" customHeight="1">
      <c r="A149" s="119"/>
      <c r="B149" s="79"/>
      <c r="C149" s="79"/>
      <c r="D149" s="86"/>
      <c r="E149" s="86"/>
      <c r="F149" s="86"/>
      <c r="G149" s="82"/>
      <c r="H149" s="87"/>
      <c r="I149" s="88"/>
      <c r="J149" s="79"/>
      <c r="K149" s="79"/>
      <c r="L149" s="88"/>
      <c r="M149" s="89"/>
      <c r="N149" s="77"/>
      <c r="O149" s="94"/>
    </row>
    <row r="150" spans="1:15" ht="16.5" customHeight="1">
      <c r="A150" s="119"/>
      <c r="B150" s="79"/>
      <c r="C150" s="79"/>
      <c r="D150" s="86"/>
      <c r="E150" s="86"/>
      <c r="F150" s="86"/>
      <c r="G150" s="82"/>
      <c r="H150" s="87"/>
      <c r="I150" s="88"/>
      <c r="J150" s="79"/>
      <c r="K150" s="79"/>
      <c r="L150" s="88"/>
      <c r="M150" s="89"/>
      <c r="N150" s="77"/>
      <c r="O150" s="94"/>
    </row>
    <row r="151" spans="1:15" ht="16.5" customHeight="1">
      <c r="A151" s="119"/>
      <c r="B151" s="79"/>
      <c r="C151" s="79"/>
      <c r="D151" s="86"/>
      <c r="E151" s="86"/>
      <c r="F151" s="86"/>
      <c r="G151" s="82"/>
      <c r="H151" s="87"/>
      <c r="I151" s="88"/>
      <c r="J151" s="79"/>
      <c r="K151" s="79"/>
      <c r="L151" s="88"/>
      <c r="M151" s="89"/>
      <c r="N151" s="77"/>
      <c r="O151" s="94"/>
    </row>
    <row r="152" spans="1:15" ht="16.5" customHeight="1">
      <c r="A152" s="119"/>
      <c r="B152" s="79"/>
      <c r="C152" s="79"/>
      <c r="D152" s="86"/>
      <c r="E152" s="86"/>
      <c r="F152" s="86"/>
      <c r="G152" s="82"/>
      <c r="H152" s="87"/>
      <c r="I152" s="88"/>
      <c r="J152" s="79"/>
      <c r="K152" s="79"/>
      <c r="L152" s="88"/>
      <c r="M152" s="89"/>
      <c r="N152" s="77"/>
      <c r="O152" s="94"/>
    </row>
    <row r="153" spans="1:15" ht="16.5" customHeight="1">
      <c r="A153" s="119"/>
      <c r="B153" s="79"/>
      <c r="C153" s="79"/>
      <c r="D153" s="86"/>
      <c r="E153" s="86"/>
      <c r="F153" s="86"/>
      <c r="G153" s="82"/>
      <c r="H153" s="87"/>
      <c r="I153" s="88"/>
      <c r="J153" s="79"/>
      <c r="K153" s="79"/>
      <c r="L153" s="88"/>
      <c r="M153" s="89"/>
      <c r="N153" s="77"/>
      <c r="O153" s="94"/>
    </row>
    <row r="154" spans="1:15" ht="16.5" customHeight="1">
      <c r="A154" s="119"/>
      <c r="B154" s="79"/>
      <c r="C154" s="79"/>
      <c r="D154" s="86"/>
      <c r="E154" s="86"/>
      <c r="F154" s="86"/>
      <c r="G154" s="82"/>
      <c r="H154" s="87"/>
      <c r="I154" s="88"/>
      <c r="J154" s="79"/>
      <c r="K154" s="79"/>
      <c r="L154" s="88"/>
      <c r="M154" s="89"/>
      <c r="N154" s="77"/>
      <c r="O154" s="94"/>
    </row>
    <row r="155" spans="1:15" ht="16.5" customHeight="1">
      <c r="A155" s="119"/>
      <c r="B155" s="79"/>
      <c r="C155" s="79"/>
      <c r="D155" s="86"/>
      <c r="E155" s="86"/>
      <c r="F155" s="86"/>
      <c r="G155" s="82"/>
      <c r="H155" s="87"/>
      <c r="I155" s="88"/>
      <c r="J155" s="79"/>
      <c r="K155" s="79"/>
      <c r="L155" s="88"/>
      <c r="M155" s="89"/>
      <c r="N155" s="77"/>
      <c r="O155" s="94"/>
    </row>
    <row r="156" spans="1:15" ht="16.5" customHeight="1">
      <c r="A156" s="119"/>
      <c r="B156" s="79"/>
      <c r="C156" s="79"/>
      <c r="D156" s="86"/>
      <c r="E156" s="86"/>
      <c r="F156" s="86"/>
      <c r="G156" s="82"/>
      <c r="H156" s="87"/>
      <c r="I156" s="88"/>
      <c r="J156" s="79"/>
      <c r="K156" s="79"/>
      <c r="L156" s="88"/>
      <c r="M156" s="89"/>
      <c r="N156" s="77"/>
      <c r="O156" s="94"/>
    </row>
    <row r="157" spans="1:15" ht="16.5" customHeight="1">
      <c r="A157" s="119"/>
      <c r="B157" s="79"/>
      <c r="C157" s="79"/>
      <c r="D157" s="86"/>
      <c r="E157" s="86"/>
      <c r="F157" s="86"/>
      <c r="G157" s="82"/>
      <c r="H157" s="87"/>
      <c r="I157" s="88"/>
      <c r="J157" s="79"/>
      <c r="K157" s="79"/>
      <c r="L157" s="88"/>
      <c r="M157" s="89"/>
      <c r="N157" s="77"/>
      <c r="O157" s="94"/>
    </row>
    <row r="158" spans="1:15" ht="16.5" customHeight="1">
      <c r="A158" s="119"/>
      <c r="B158" s="79"/>
      <c r="C158" s="79"/>
      <c r="D158" s="86"/>
      <c r="E158" s="86"/>
      <c r="F158" s="86"/>
      <c r="G158" s="82"/>
      <c r="H158" s="87"/>
      <c r="I158" s="88"/>
      <c r="J158" s="79"/>
      <c r="K158" s="79"/>
      <c r="L158" s="88"/>
      <c r="M158" s="89"/>
      <c r="N158" s="77"/>
      <c r="O158" s="94"/>
    </row>
    <row r="159" spans="1:15" ht="16.5" customHeight="1">
      <c r="A159" s="119"/>
      <c r="B159" s="79"/>
      <c r="C159" s="79"/>
      <c r="D159" s="86"/>
      <c r="E159" s="86"/>
      <c r="F159" s="86"/>
      <c r="G159" s="82"/>
      <c r="H159" s="87"/>
      <c r="I159" s="88"/>
      <c r="J159" s="79"/>
      <c r="K159" s="79"/>
      <c r="L159" s="88"/>
      <c r="M159" s="89"/>
      <c r="N159" s="77"/>
      <c r="O159" s="94"/>
    </row>
    <row r="160" spans="1:15" ht="16.5" customHeight="1">
      <c r="A160" s="119"/>
      <c r="B160" s="79"/>
      <c r="C160" s="79"/>
      <c r="D160" s="86"/>
      <c r="E160" s="86"/>
      <c r="F160" s="86"/>
      <c r="G160" s="82"/>
      <c r="H160" s="87"/>
      <c r="I160" s="88"/>
      <c r="J160" s="79"/>
      <c r="K160" s="79"/>
      <c r="L160" s="88"/>
      <c r="M160" s="89"/>
      <c r="N160" s="77"/>
      <c r="O160" s="94"/>
    </row>
    <row r="161" spans="1:15" ht="16.5" customHeight="1">
      <c r="A161" s="119"/>
      <c r="B161" s="79"/>
      <c r="C161" s="79"/>
      <c r="D161" s="86"/>
      <c r="E161" s="86"/>
      <c r="F161" s="86"/>
      <c r="G161" s="82"/>
      <c r="H161" s="87"/>
      <c r="I161" s="88"/>
      <c r="J161" s="79"/>
      <c r="K161" s="79"/>
      <c r="L161" s="88"/>
      <c r="M161" s="89"/>
      <c r="N161" s="77"/>
      <c r="O161" s="94"/>
    </row>
    <row r="162" spans="1:15" ht="16.5" customHeight="1">
      <c r="A162" s="119"/>
      <c r="B162" s="79"/>
      <c r="C162" s="79"/>
      <c r="D162" s="86"/>
      <c r="E162" s="86"/>
      <c r="F162" s="86"/>
      <c r="G162" s="82"/>
      <c r="H162" s="87"/>
      <c r="I162" s="88"/>
      <c r="J162" s="79"/>
      <c r="K162" s="79"/>
      <c r="L162" s="88"/>
      <c r="M162" s="89"/>
      <c r="N162" s="77"/>
      <c r="O162" s="94"/>
    </row>
    <row r="163" spans="1:15" ht="16.5" customHeight="1">
      <c r="A163" s="119"/>
      <c r="B163" s="79"/>
      <c r="C163" s="79"/>
      <c r="D163" s="86"/>
      <c r="E163" s="86"/>
      <c r="F163" s="86"/>
      <c r="G163" s="82"/>
      <c r="H163" s="87"/>
      <c r="I163" s="88"/>
      <c r="J163" s="79"/>
      <c r="K163" s="79"/>
      <c r="L163" s="88"/>
      <c r="M163" s="89"/>
      <c r="N163" s="77"/>
      <c r="O163" s="94"/>
    </row>
    <row r="164" spans="1:15" ht="16.5" customHeight="1">
      <c r="A164" s="119"/>
      <c r="B164" s="79"/>
      <c r="C164" s="79"/>
      <c r="D164" s="86"/>
      <c r="E164" s="86"/>
      <c r="F164" s="86"/>
      <c r="G164" s="82"/>
      <c r="H164" s="87"/>
      <c r="I164" s="88"/>
      <c r="J164" s="79"/>
      <c r="K164" s="79"/>
      <c r="L164" s="88"/>
      <c r="M164" s="89"/>
      <c r="N164" s="77"/>
      <c r="O164" s="94"/>
    </row>
    <row r="165" spans="1:15" ht="16.5" customHeight="1">
      <c r="A165" s="119"/>
      <c r="B165" s="79"/>
      <c r="C165" s="79"/>
      <c r="D165" s="86"/>
      <c r="E165" s="86"/>
      <c r="F165" s="86"/>
      <c r="G165" s="82"/>
      <c r="H165" s="87"/>
      <c r="I165" s="88"/>
      <c r="J165" s="79"/>
      <c r="K165" s="79"/>
      <c r="L165" s="88"/>
      <c r="M165" s="89"/>
      <c r="N165" s="77"/>
      <c r="O165" s="94"/>
    </row>
    <row r="166" spans="1:15" ht="16.5" customHeight="1">
      <c r="A166" s="119"/>
      <c r="B166" s="79"/>
      <c r="C166" s="79"/>
      <c r="D166" s="86"/>
      <c r="E166" s="86"/>
      <c r="F166" s="86"/>
      <c r="G166" s="82"/>
      <c r="H166" s="87"/>
      <c r="I166" s="88"/>
      <c r="J166" s="79"/>
      <c r="K166" s="79"/>
      <c r="L166" s="88"/>
      <c r="M166" s="89"/>
      <c r="N166" s="77"/>
      <c r="O166" s="94"/>
    </row>
    <row r="167" spans="1:15" ht="16.5" customHeight="1">
      <c r="A167" s="119"/>
      <c r="B167" s="79"/>
      <c r="C167" s="79"/>
      <c r="D167" s="86"/>
      <c r="E167" s="86"/>
      <c r="F167" s="86"/>
      <c r="G167" s="82"/>
      <c r="H167" s="87"/>
      <c r="I167" s="88"/>
      <c r="J167" s="79"/>
      <c r="K167" s="79"/>
      <c r="L167" s="88"/>
      <c r="M167" s="89"/>
      <c r="N167" s="77"/>
      <c r="O167" s="94"/>
    </row>
    <row r="168" spans="1:15" ht="16.5" customHeight="1">
      <c r="A168" s="119"/>
      <c r="B168" s="79"/>
      <c r="C168" s="79"/>
      <c r="D168" s="86"/>
      <c r="E168" s="86"/>
      <c r="F168" s="86"/>
      <c r="G168" s="82"/>
      <c r="H168" s="87"/>
      <c r="I168" s="88"/>
      <c r="J168" s="79"/>
      <c r="K168" s="79"/>
      <c r="L168" s="88"/>
      <c r="M168" s="89"/>
      <c r="N168" s="77"/>
      <c r="O168" s="94"/>
    </row>
    <row r="169" spans="1:15" ht="16.5" customHeight="1">
      <c r="A169" s="119"/>
      <c r="B169" s="79"/>
      <c r="C169" s="79"/>
      <c r="D169" s="86"/>
      <c r="E169" s="86"/>
      <c r="F169" s="86"/>
      <c r="G169" s="82"/>
      <c r="H169" s="87"/>
      <c r="I169" s="88"/>
      <c r="J169" s="79"/>
      <c r="K169" s="79"/>
      <c r="L169" s="88"/>
      <c r="M169" s="89"/>
      <c r="N169" s="77"/>
      <c r="O169" s="94"/>
    </row>
    <row r="170" spans="1:15" ht="16.5" customHeight="1">
      <c r="A170" s="119"/>
      <c r="B170" s="79"/>
      <c r="C170" s="79"/>
      <c r="D170" s="86"/>
      <c r="E170" s="86"/>
      <c r="F170" s="86"/>
      <c r="G170" s="82"/>
      <c r="H170" s="87"/>
      <c r="I170" s="88"/>
      <c r="J170" s="79"/>
      <c r="K170" s="79"/>
      <c r="L170" s="88"/>
      <c r="M170" s="89"/>
      <c r="N170" s="77"/>
      <c r="O170" s="94"/>
    </row>
    <row r="171" spans="1:15" ht="16.5" customHeight="1">
      <c r="A171" s="119"/>
      <c r="B171" s="79"/>
      <c r="C171" s="79"/>
      <c r="D171" s="86"/>
      <c r="E171" s="86"/>
      <c r="F171" s="86"/>
      <c r="G171" s="82"/>
      <c r="H171" s="87"/>
      <c r="I171" s="88"/>
      <c r="J171" s="79"/>
      <c r="K171" s="79"/>
      <c r="L171" s="88"/>
      <c r="M171" s="89"/>
      <c r="N171" s="77"/>
      <c r="O171" s="94"/>
    </row>
    <row r="172" spans="1:15" ht="16.5" customHeight="1">
      <c r="A172" s="119"/>
      <c r="B172" s="79"/>
      <c r="C172" s="79"/>
      <c r="D172" s="86"/>
      <c r="E172" s="86"/>
      <c r="F172" s="86"/>
      <c r="G172" s="82"/>
      <c r="H172" s="87"/>
      <c r="I172" s="88"/>
      <c r="J172" s="79"/>
      <c r="K172" s="79"/>
      <c r="L172" s="88"/>
      <c r="M172" s="89"/>
      <c r="N172" s="77"/>
      <c r="O172" s="94"/>
    </row>
    <row r="173" spans="1:15" ht="16.5" customHeight="1">
      <c r="A173" s="119"/>
      <c r="B173" s="79"/>
      <c r="C173" s="79"/>
      <c r="D173" s="86"/>
      <c r="E173" s="86"/>
      <c r="F173" s="86"/>
      <c r="G173" s="82"/>
      <c r="H173" s="87"/>
      <c r="I173" s="88"/>
      <c r="J173" s="79"/>
      <c r="K173" s="79"/>
      <c r="L173" s="88"/>
      <c r="M173" s="89"/>
      <c r="N173" s="77"/>
      <c r="O173" s="94"/>
    </row>
    <row r="174" spans="1:15" ht="16.5" customHeight="1">
      <c r="A174" s="85"/>
      <c r="B174" s="79"/>
      <c r="C174" s="79"/>
      <c r="D174" s="86"/>
      <c r="E174" s="86"/>
      <c r="F174" s="86"/>
      <c r="G174" s="82"/>
      <c r="H174" s="87"/>
      <c r="I174" s="88"/>
      <c r="J174" s="79"/>
      <c r="K174" s="79"/>
      <c r="L174" s="88"/>
      <c r="M174" s="89"/>
      <c r="N174" s="77"/>
    </row>
    <row r="175" spans="1:15" ht="16.5" customHeight="1">
      <c r="A175" s="85"/>
      <c r="B175" s="79"/>
      <c r="C175" s="80"/>
      <c r="D175" s="86"/>
      <c r="E175" s="86"/>
      <c r="F175" s="86"/>
      <c r="G175" s="82"/>
      <c r="H175" s="87"/>
      <c r="I175" s="88"/>
      <c r="J175" s="79"/>
      <c r="K175" s="79"/>
      <c r="L175" s="88"/>
      <c r="M175" s="89"/>
      <c r="N175" s="77"/>
    </row>
    <row r="176" spans="1:15" ht="16.5" customHeight="1">
      <c r="D176" s="75"/>
      <c r="E176" s="75"/>
      <c r="F176" s="75"/>
      <c r="G176" s="75"/>
      <c r="L176" s="76"/>
      <c r="N176" s="77"/>
    </row>
    <row r="177" spans="1:14" ht="16.5" customHeight="1">
      <c r="A177" s="96" t="s">
        <v>48</v>
      </c>
      <c r="B177" s="96" t="s">
        <v>219</v>
      </c>
      <c r="C177" s="96" t="s">
        <v>238</v>
      </c>
      <c r="D177" s="96" t="s">
        <v>222</v>
      </c>
      <c r="E177" s="96" t="s">
        <v>55</v>
      </c>
      <c r="F177" s="96" t="s">
        <v>239</v>
      </c>
      <c r="G177" s="96" t="s">
        <v>4</v>
      </c>
      <c r="H177" s="96" t="s">
        <v>19</v>
      </c>
      <c r="J177" s="121" t="s">
        <v>240</v>
      </c>
      <c r="K177" s="121" t="s">
        <v>241</v>
      </c>
      <c r="N177" s="77"/>
    </row>
    <row r="178" spans="1:14" ht="16.5" customHeight="1">
      <c r="A178" s="95" t="s">
        <v>49</v>
      </c>
      <c r="B178" s="95" t="s">
        <v>242</v>
      </c>
      <c r="C178" s="95" t="s">
        <v>243</v>
      </c>
      <c r="D178" s="95" t="s">
        <v>223</v>
      </c>
      <c r="E178" s="95" t="s">
        <v>244</v>
      </c>
      <c r="F178" s="95" t="s">
        <v>245</v>
      </c>
      <c r="G178" s="95" t="s">
        <v>17</v>
      </c>
      <c r="H178" s="95" t="s">
        <v>20</v>
      </c>
      <c r="K178" s="121" t="s">
        <v>246</v>
      </c>
      <c r="N178" s="77"/>
    </row>
    <row r="179" spans="1:14" ht="16.5" customHeight="1">
      <c r="A179" s="95" t="s">
        <v>247</v>
      </c>
      <c r="B179" s="95" t="s">
        <v>220</v>
      </c>
      <c r="C179" s="95" t="s">
        <v>248</v>
      </c>
      <c r="D179" s="95" t="s">
        <v>249</v>
      </c>
      <c r="E179" s="95" t="s">
        <v>56</v>
      </c>
      <c r="F179" s="95" t="s">
        <v>250</v>
      </c>
      <c r="G179" s="95" t="s">
        <v>251</v>
      </c>
      <c r="H179" s="95" t="s">
        <v>49</v>
      </c>
      <c r="N179" s="77"/>
    </row>
    <row r="180" spans="1:14" ht="16.5" customHeight="1">
      <c r="A180" s="95" t="s">
        <v>104</v>
      </c>
      <c r="B180" s="95" t="s">
        <v>252</v>
      </c>
      <c r="E180" s="95" t="s">
        <v>253</v>
      </c>
      <c r="F180" s="95" t="s">
        <v>254</v>
      </c>
      <c r="G180" s="95" t="s">
        <v>15</v>
      </c>
      <c r="H180" s="95" t="s">
        <v>59</v>
      </c>
      <c r="N180" s="77"/>
    </row>
    <row r="181" spans="1:14" ht="16.5" customHeight="1">
      <c r="A181" s="95" t="s">
        <v>255</v>
      </c>
      <c r="E181" s="95" t="s">
        <v>256</v>
      </c>
      <c r="G181" s="95" t="s">
        <v>234</v>
      </c>
      <c r="N181" s="77"/>
    </row>
    <row r="182" spans="1:14" ht="16.5" customHeight="1">
      <c r="A182" s="95" t="s">
        <v>257</v>
      </c>
      <c r="D182" s="76"/>
      <c r="G182" s="95" t="s">
        <v>258</v>
      </c>
      <c r="N182" s="77"/>
    </row>
    <row r="183" spans="1:14" ht="16.5" customHeight="1">
      <c r="A183" s="95" t="s">
        <v>59</v>
      </c>
      <c r="D183" s="76"/>
      <c r="G183" s="95" t="s">
        <v>162</v>
      </c>
      <c r="N183" s="77"/>
    </row>
    <row r="184" spans="1:14" ht="16.5" customHeight="1">
      <c r="A184" s="95" t="s">
        <v>259</v>
      </c>
      <c r="D184" s="76"/>
      <c r="G184" s="95" t="s">
        <v>260</v>
      </c>
      <c r="N184" s="77"/>
    </row>
    <row r="185" spans="1:14" ht="16.5" customHeight="1">
      <c r="A185" s="95" t="s">
        <v>261</v>
      </c>
      <c r="D185" s="76"/>
      <c r="N185" s="77"/>
    </row>
    <row r="186" spans="1:14" ht="16.5" customHeight="1">
      <c r="A186" s="95" t="s">
        <v>262</v>
      </c>
      <c r="D186" s="76"/>
      <c r="N186" s="77"/>
    </row>
    <row r="187" spans="1:14" ht="16.5" customHeight="1">
      <c r="A187" s="95" t="s">
        <v>260</v>
      </c>
      <c r="D187" s="76"/>
      <c r="N187" s="77"/>
    </row>
    <row r="188" spans="1:14" ht="16.5" customHeight="1">
      <c r="A188" s="95" t="s">
        <v>263</v>
      </c>
      <c r="D188" s="76"/>
      <c r="N188" s="77"/>
    </row>
    <row r="189" spans="1:14" ht="16.5" customHeight="1">
      <c r="A189" s="95" t="s">
        <v>19</v>
      </c>
      <c r="D189" s="76"/>
      <c r="N189" s="77"/>
    </row>
    <row r="190" spans="1:14" ht="16.5" customHeight="1">
      <c r="D190" s="75"/>
      <c r="E190" s="75"/>
      <c r="F190" s="75"/>
      <c r="G190" s="75"/>
      <c r="L190" s="76"/>
      <c r="N190" s="77"/>
    </row>
    <row r="191" spans="1:14" ht="16.5" customHeight="1">
      <c r="D191" s="75"/>
      <c r="E191" s="97" t="s">
        <v>264</v>
      </c>
      <c r="F191" s="97"/>
      <c r="G191" s="97" t="s">
        <v>7</v>
      </c>
      <c r="L191" s="76"/>
      <c r="N191" s="77"/>
    </row>
    <row r="192" spans="1:14" ht="16.5" customHeight="1">
      <c r="A192" s="68" t="s">
        <v>49</v>
      </c>
      <c r="B192" s="34" t="s">
        <v>49</v>
      </c>
      <c r="C192" s="35" t="s">
        <v>49</v>
      </c>
      <c r="D192" s="59">
        <v>3300000</v>
      </c>
      <c r="E192" s="75">
        <f>SUMIF(Table_1[내용 및 목적],"경조금",Table_1[지출])</f>
        <v>800000</v>
      </c>
      <c r="F192" s="260">
        <f t="shared" ref="F192:F210" si="0">D192-E192</f>
        <v>2500000</v>
      </c>
      <c r="G192" s="180"/>
      <c r="L192" s="76"/>
      <c r="N192" s="77"/>
    </row>
    <row r="193" spans="1:14" ht="16.5" customHeight="1">
      <c r="A193" s="251" t="s">
        <v>265</v>
      </c>
      <c r="B193" s="34" t="s">
        <v>266</v>
      </c>
      <c r="C193" s="35" t="s">
        <v>247</v>
      </c>
      <c r="D193" s="59">
        <f>214200*3*3</f>
        <v>1927800</v>
      </c>
      <c r="E193" s="75">
        <f>SUMIF(Table_1[내용 및 목적],"국내여비",Table_1[지출])</f>
        <v>0</v>
      </c>
      <c r="F193" s="260">
        <f t="shared" si="0"/>
        <v>1927800</v>
      </c>
      <c r="G193" s="180"/>
      <c r="L193" s="76"/>
      <c r="N193" s="77"/>
    </row>
    <row r="194" spans="1:14" ht="16.5" customHeight="1">
      <c r="A194" s="250"/>
      <c r="B194" s="249" t="s">
        <v>267</v>
      </c>
      <c r="C194" s="35" t="s">
        <v>104</v>
      </c>
      <c r="D194" s="59">
        <f>5000*9*12</f>
        <v>540000</v>
      </c>
      <c r="E194" s="75">
        <f>SUMIF(Table_1[내용 및 목적],"운영위원회의비",Table_1[지출])</f>
        <v>166000</v>
      </c>
      <c r="F194" s="260">
        <f t="shared" si="0"/>
        <v>374000</v>
      </c>
      <c r="G194" s="180"/>
      <c r="L194" s="76"/>
      <c r="N194" s="77"/>
    </row>
    <row r="195" spans="1:14" ht="16.5" customHeight="1">
      <c r="A195" s="250"/>
      <c r="B195" s="250"/>
      <c r="C195" s="35" t="s">
        <v>255</v>
      </c>
      <c r="D195" s="59">
        <v>1000000</v>
      </c>
      <c r="E195" s="75">
        <f>SUMIF(Table_1[내용 및 목적],"대의원선거비",Table_1[지출])</f>
        <v>0</v>
      </c>
      <c r="F195" s="260">
        <f t="shared" si="0"/>
        <v>1000000</v>
      </c>
      <c r="G195" s="180"/>
      <c r="L195" s="76"/>
      <c r="N195" s="77"/>
    </row>
    <row r="196" spans="1:14" ht="16.5" customHeight="1">
      <c r="A196" s="250"/>
      <c r="B196" s="250"/>
      <c r="C196" s="35" t="s">
        <v>244</v>
      </c>
      <c r="D196" s="59">
        <f>50000*8</f>
        <v>400000</v>
      </c>
      <c r="E196" s="75">
        <f>SUMIF(Table_1[내용 및 목적],"조직부회의비",Table_1[지출])</f>
        <v>376000</v>
      </c>
      <c r="F196" s="260">
        <f t="shared" si="0"/>
        <v>24000</v>
      </c>
      <c r="G196" s="180"/>
      <c r="L196" s="76"/>
      <c r="N196" s="77"/>
    </row>
    <row r="197" spans="1:14" ht="16.5" customHeight="1">
      <c r="A197" s="250"/>
      <c r="B197" s="250"/>
      <c r="C197" s="35" t="s">
        <v>223</v>
      </c>
      <c r="D197" s="59">
        <f>50000*4</f>
        <v>200000</v>
      </c>
      <c r="E197" s="75">
        <f>SUMIF(Table_1[내용 및 목적],"정책부회의비",Table_1[지출])</f>
        <v>135000</v>
      </c>
      <c r="F197" s="260">
        <f t="shared" si="0"/>
        <v>65000</v>
      </c>
      <c r="G197" s="180"/>
      <c r="L197" s="76"/>
      <c r="N197" s="77"/>
    </row>
    <row r="198" spans="1:14" ht="16.5" customHeight="1">
      <c r="A198" s="250"/>
      <c r="B198" s="250"/>
      <c r="C198" s="35" t="s">
        <v>243</v>
      </c>
      <c r="D198" s="59">
        <v>200000</v>
      </c>
      <c r="E198" s="75">
        <f>SUMIF(Table_1[내용 및 목적],"대협회의비",Table_1[지출])</f>
        <v>0</v>
      </c>
      <c r="F198" s="260">
        <f t="shared" si="0"/>
        <v>200000</v>
      </c>
      <c r="G198" s="180"/>
      <c r="L198" s="76"/>
      <c r="N198" s="77"/>
    </row>
    <row r="199" spans="1:14" ht="16.5" customHeight="1">
      <c r="A199" s="250"/>
      <c r="B199" s="178"/>
      <c r="C199" s="35" t="s">
        <v>220</v>
      </c>
      <c r="D199" s="59">
        <v>200000</v>
      </c>
      <c r="E199" s="75">
        <f>SUMIF(Table_1[내용 및 목적],"교선회의비",Table_1[지출])</f>
        <v>135000</v>
      </c>
      <c r="F199" s="260">
        <f t="shared" si="0"/>
        <v>65000</v>
      </c>
      <c r="G199" s="180"/>
      <c r="L199" s="76"/>
      <c r="N199" s="77"/>
    </row>
    <row r="200" spans="1:14" ht="16.5" customHeight="1">
      <c r="A200" s="178"/>
      <c r="B200" s="34" t="s">
        <v>268</v>
      </c>
      <c r="C200" s="35" t="s">
        <v>257</v>
      </c>
      <c r="D200" s="59">
        <v>0</v>
      </c>
      <c r="E200" s="75">
        <f>SUMIF(Table_1[내용 및 목적],"사무용품비",Table_1[지출])</f>
        <v>0</v>
      </c>
      <c r="F200" s="260">
        <f t="shared" si="0"/>
        <v>0</v>
      </c>
      <c r="G200" s="180"/>
      <c r="L200" s="76"/>
      <c r="N200" s="77"/>
    </row>
    <row r="201" spans="1:14" ht="16.5" customHeight="1">
      <c r="A201" s="251" t="s">
        <v>269</v>
      </c>
      <c r="B201" s="34" t="s">
        <v>270</v>
      </c>
      <c r="C201" s="47" t="s">
        <v>59</v>
      </c>
      <c r="D201" s="59">
        <f>300000*12</f>
        <v>3600000</v>
      </c>
      <c r="E201" s="75">
        <f>SUMIF(Table_1[내용 및 목적],"의장단활동비",Table_1[지출])</f>
        <v>2890580</v>
      </c>
      <c r="F201" s="260">
        <f t="shared" si="0"/>
        <v>709420</v>
      </c>
      <c r="G201" s="180"/>
      <c r="L201" s="76"/>
      <c r="N201" s="77"/>
    </row>
    <row r="202" spans="1:14" ht="16.5" customHeight="1">
      <c r="A202" s="250"/>
      <c r="B202" s="249" t="s">
        <v>271</v>
      </c>
      <c r="C202" s="47" t="s">
        <v>56</v>
      </c>
      <c r="D202" s="59">
        <v>8000000</v>
      </c>
      <c r="E202" s="75">
        <f>SUMIF(Table_1[내용 및 목적],"조직활동비",Table_1[지출])</f>
        <v>2900500</v>
      </c>
      <c r="F202" s="260">
        <f t="shared" si="0"/>
        <v>5099500</v>
      </c>
      <c r="G202" s="180"/>
      <c r="L202" s="76"/>
      <c r="N202" s="77"/>
    </row>
    <row r="203" spans="1:14" ht="16.5" customHeight="1">
      <c r="A203" s="250"/>
      <c r="B203" s="250"/>
      <c r="C203" s="35" t="s">
        <v>259</v>
      </c>
      <c r="D203" s="59">
        <v>300000</v>
      </c>
      <c r="E203" s="75">
        <f>SUMIF(Table_1[내용 및 목적],"조직원포상비",Table_1[지출])</f>
        <v>0</v>
      </c>
      <c r="F203" s="260">
        <f t="shared" si="0"/>
        <v>300000</v>
      </c>
      <c r="G203" s="180"/>
      <c r="L203" s="76"/>
      <c r="N203" s="77"/>
    </row>
    <row r="204" spans="1:14" ht="16.5" customHeight="1">
      <c r="A204" s="250"/>
      <c r="B204" s="250"/>
      <c r="C204" s="35" t="s">
        <v>261</v>
      </c>
      <c r="D204" s="59">
        <f>20000*200</f>
        <v>4000000</v>
      </c>
      <c r="E204" s="75">
        <f>SUMIF(Table_1[내용 및 목적],"선물비",Table_1[지출])</f>
        <v>0</v>
      </c>
      <c r="F204" s="260">
        <f t="shared" si="0"/>
        <v>4000000</v>
      </c>
      <c r="G204" s="180"/>
      <c r="L204" s="76"/>
      <c r="N204" s="77"/>
    </row>
    <row r="205" spans="1:14" ht="16.5" customHeight="1">
      <c r="A205" s="250"/>
      <c r="B205" s="250"/>
      <c r="C205" s="35" t="s">
        <v>253</v>
      </c>
      <c r="D205" s="59">
        <f>50000*46</f>
        <v>2300000</v>
      </c>
      <c r="E205" s="75">
        <f>SUMIF(Table_1[내용 및 목적],"조직원수련회비",Table_1[지출])</f>
        <v>0</v>
      </c>
      <c r="F205" s="260">
        <f t="shared" si="0"/>
        <v>2300000</v>
      </c>
      <c r="G205" s="180"/>
      <c r="L205" s="76"/>
      <c r="N205" s="77"/>
    </row>
    <row r="206" spans="1:14" ht="16.5" customHeight="1">
      <c r="A206" s="250"/>
      <c r="B206" s="178"/>
      <c r="C206" s="35" t="s">
        <v>256</v>
      </c>
      <c r="D206" s="59"/>
      <c r="E206" s="75">
        <f>SUMIF(Table_1[내용 및 목적],"후원회원행사비",Table_1[지출])</f>
        <v>0</v>
      </c>
      <c r="F206" s="260">
        <f t="shared" si="0"/>
        <v>0</v>
      </c>
      <c r="G206" s="180"/>
      <c r="L206" s="76"/>
      <c r="N206" s="77"/>
    </row>
    <row r="207" spans="1:14" ht="16.5" customHeight="1">
      <c r="A207" s="250"/>
      <c r="B207" s="34" t="s">
        <v>272</v>
      </c>
      <c r="C207" s="35" t="s">
        <v>249</v>
      </c>
      <c r="D207" s="59">
        <v>600000</v>
      </c>
      <c r="E207" s="75">
        <f>SUMIF(Table_1[내용 및 목적],"정책활동비",Table_1[지출])</f>
        <v>0</v>
      </c>
      <c r="F207" s="260">
        <f t="shared" si="0"/>
        <v>600000</v>
      </c>
      <c r="G207" s="180"/>
      <c r="L207" s="76"/>
      <c r="N207" s="77"/>
    </row>
    <row r="208" spans="1:14" ht="16.5" customHeight="1">
      <c r="A208" s="250"/>
      <c r="B208" s="34" t="s">
        <v>273</v>
      </c>
      <c r="C208" s="35" t="s">
        <v>248</v>
      </c>
      <c r="D208" s="59">
        <v>300000</v>
      </c>
      <c r="E208" s="75">
        <f>SUMIF(Table_1[내용 및 목적],"대협활동비",Table_1[지출])</f>
        <v>0</v>
      </c>
      <c r="F208" s="260">
        <f t="shared" si="0"/>
        <v>300000</v>
      </c>
      <c r="G208" s="180"/>
      <c r="L208" s="76"/>
      <c r="N208" s="77"/>
    </row>
    <row r="209" spans="1:14" ht="16.5" customHeight="1">
      <c r="A209" s="250"/>
      <c r="B209" s="249" t="s">
        <v>274</v>
      </c>
      <c r="C209" s="35" t="s">
        <v>252</v>
      </c>
      <c r="D209" s="59">
        <v>500000</v>
      </c>
      <c r="E209" s="75">
        <f>SUMIF(Table_1[내용 및 목적],"대자보비",Table_1[지출])</f>
        <v>0</v>
      </c>
      <c r="F209" s="260">
        <f t="shared" si="0"/>
        <v>500000</v>
      </c>
      <c r="G209" s="180"/>
      <c r="L209" s="76"/>
      <c r="N209" s="77"/>
    </row>
    <row r="210" spans="1:14" ht="16.5" customHeight="1">
      <c r="A210" s="178"/>
      <c r="B210" s="178"/>
      <c r="C210" s="35" t="s">
        <v>242</v>
      </c>
      <c r="D210" s="59">
        <f>800000-400000</f>
        <v>400000</v>
      </c>
      <c r="E210" s="75">
        <f>SUMIF(Table_1[내용 및 목적],"유인물,현수막비",Table_1[지출])</f>
        <v>0</v>
      </c>
      <c r="F210" s="260">
        <f t="shared" si="0"/>
        <v>400000</v>
      </c>
      <c r="G210" s="180"/>
      <c r="L210" s="76"/>
      <c r="N210" s="77"/>
    </row>
    <row r="211" spans="1:14" ht="16.5" customHeight="1">
      <c r="D211" s="75"/>
      <c r="E211" s="75"/>
      <c r="F211" s="75"/>
      <c r="G211" s="75"/>
      <c r="L211" s="76"/>
      <c r="N211" s="77"/>
    </row>
    <row r="212" spans="1:14" ht="16.5" customHeight="1">
      <c r="D212" s="75"/>
      <c r="E212" s="75"/>
      <c r="F212" s="75"/>
      <c r="G212" s="75"/>
      <c r="L212" s="76"/>
      <c r="N212" s="77"/>
    </row>
    <row r="213" spans="1:14" ht="16.5" customHeight="1">
      <c r="D213" s="75"/>
      <c r="E213" s="75"/>
      <c r="F213" s="75"/>
      <c r="G213" s="75"/>
      <c r="L213" s="76"/>
      <c r="N213" s="77"/>
    </row>
    <row r="214" spans="1:14" ht="16.5" customHeight="1">
      <c r="D214" s="75"/>
      <c r="E214" s="75"/>
      <c r="F214" s="75"/>
      <c r="G214" s="75"/>
      <c r="L214" s="76"/>
      <c r="N214" s="77"/>
    </row>
    <row r="215" spans="1:14" ht="16.5" customHeight="1">
      <c r="D215" s="75"/>
      <c r="E215" s="75"/>
      <c r="F215" s="75"/>
      <c r="G215" s="75"/>
      <c r="L215" s="76"/>
      <c r="N215" s="77"/>
    </row>
    <row r="216" spans="1:14" ht="16.5" customHeight="1">
      <c r="D216" s="75"/>
      <c r="E216" s="75"/>
      <c r="F216" s="75"/>
      <c r="G216" s="75"/>
      <c r="L216" s="76"/>
      <c r="N216" s="77"/>
    </row>
    <row r="217" spans="1:14" ht="16.5" customHeight="1">
      <c r="D217" s="75"/>
      <c r="E217" s="75"/>
      <c r="F217" s="75"/>
      <c r="G217" s="75"/>
      <c r="L217" s="76"/>
      <c r="N217" s="77"/>
    </row>
    <row r="218" spans="1:14" ht="16.5" customHeight="1">
      <c r="D218" s="75"/>
      <c r="E218" s="75"/>
      <c r="F218" s="75"/>
      <c r="G218" s="75"/>
      <c r="L218" s="76"/>
      <c r="N218" s="77"/>
    </row>
    <row r="219" spans="1:14" ht="16.5" customHeight="1">
      <c r="D219" s="75"/>
      <c r="E219" s="75"/>
      <c r="F219" s="75"/>
      <c r="G219" s="75"/>
      <c r="L219" s="76"/>
      <c r="N219" s="77"/>
    </row>
    <row r="220" spans="1:14" ht="16.5" customHeight="1">
      <c r="D220" s="75"/>
      <c r="E220" s="75"/>
      <c r="F220" s="75"/>
      <c r="G220" s="75"/>
      <c r="L220" s="76"/>
      <c r="N220" s="77"/>
    </row>
    <row r="221" spans="1:14" ht="16.5" customHeight="1">
      <c r="D221" s="75"/>
      <c r="E221" s="75"/>
      <c r="F221" s="75"/>
      <c r="G221" s="75"/>
      <c r="L221" s="76"/>
      <c r="N221" s="77"/>
    </row>
    <row r="222" spans="1:14" ht="16.5" customHeight="1">
      <c r="D222" s="75"/>
      <c r="E222" s="75"/>
      <c r="F222" s="75"/>
      <c r="G222" s="75"/>
      <c r="L222" s="76"/>
      <c r="N222" s="77"/>
    </row>
    <row r="223" spans="1:14" ht="16.5" customHeight="1">
      <c r="D223" s="75"/>
      <c r="E223" s="75"/>
      <c r="F223" s="75"/>
      <c r="G223" s="75"/>
      <c r="L223" s="76"/>
      <c r="N223" s="77"/>
    </row>
    <row r="224" spans="1:14" ht="16.5" customHeight="1">
      <c r="D224" s="75"/>
      <c r="E224" s="75"/>
      <c r="F224" s="75"/>
      <c r="G224" s="75"/>
      <c r="L224" s="76"/>
      <c r="N224" s="77"/>
    </row>
    <row r="225" spans="4:14" ht="16.5" customHeight="1">
      <c r="D225" s="75"/>
      <c r="E225" s="75"/>
      <c r="F225" s="75"/>
      <c r="G225" s="75"/>
      <c r="L225" s="76"/>
      <c r="N225" s="77"/>
    </row>
    <row r="226" spans="4:14" ht="16.5" customHeight="1">
      <c r="D226" s="75"/>
      <c r="E226" s="75"/>
      <c r="F226" s="75"/>
      <c r="G226" s="75"/>
      <c r="L226" s="76"/>
      <c r="N226" s="77"/>
    </row>
    <row r="227" spans="4:14" ht="16.5" customHeight="1">
      <c r="D227" s="75"/>
      <c r="E227" s="75"/>
      <c r="F227" s="75"/>
      <c r="G227" s="75"/>
      <c r="L227" s="76"/>
      <c r="N227" s="77"/>
    </row>
    <row r="228" spans="4:14" ht="16.5" customHeight="1">
      <c r="D228" s="75"/>
      <c r="E228" s="75"/>
      <c r="F228" s="75"/>
      <c r="G228" s="75"/>
      <c r="L228" s="76"/>
      <c r="N228" s="77"/>
    </row>
    <row r="229" spans="4:14" ht="16.5" customHeight="1">
      <c r="D229" s="75"/>
      <c r="E229" s="75"/>
      <c r="F229" s="75"/>
      <c r="G229" s="75"/>
      <c r="L229" s="76"/>
      <c r="N229" s="77"/>
    </row>
    <row r="230" spans="4:14" ht="16.5" customHeight="1">
      <c r="D230" s="75"/>
      <c r="E230" s="75"/>
      <c r="F230" s="75"/>
      <c r="G230" s="75"/>
      <c r="L230" s="76"/>
      <c r="N230" s="77"/>
    </row>
    <row r="231" spans="4:14" ht="16.5" customHeight="1">
      <c r="D231" s="75"/>
      <c r="E231" s="75"/>
      <c r="F231" s="75"/>
      <c r="G231" s="75"/>
      <c r="L231" s="76"/>
      <c r="N231" s="77"/>
    </row>
    <row r="232" spans="4:14" ht="16.5" customHeight="1">
      <c r="D232" s="75"/>
      <c r="E232" s="75"/>
      <c r="F232" s="75"/>
      <c r="G232" s="75"/>
      <c r="L232" s="76"/>
      <c r="N232" s="77"/>
    </row>
    <row r="233" spans="4:14" ht="16.5" customHeight="1">
      <c r="D233" s="75"/>
      <c r="E233" s="75"/>
      <c r="F233" s="75"/>
      <c r="G233" s="75"/>
      <c r="L233" s="76"/>
      <c r="N233" s="77"/>
    </row>
    <row r="234" spans="4:14" ht="16.5" customHeight="1">
      <c r="D234" s="75"/>
      <c r="E234" s="75"/>
      <c r="F234" s="75"/>
      <c r="G234" s="75"/>
      <c r="L234" s="76"/>
      <c r="N234" s="77"/>
    </row>
    <row r="235" spans="4:14" ht="16.5" customHeight="1">
      <c r="D235" s="75"/>
      <c r="E235" s="75"/>
      <c r="F235" s="75"/>
      <c r="G235" s="75"/>
      <c r="L235" s="76"/>
      <c r="N235" s="77"/>
    </row>
    <row r="236" spans="4:14" ht="16.5" customHeight="1">
      <c r="D236" s="75"/>
      <c r="E236" s="75"/>
      <c r="F236" s="75"/>
      <c r="G236" s="75"/>
      <c r="L236" s="76"/>
      <c r="N236" s="77"/>
    </row>
    <row r="237" spans="4:14" ht="16.5" customHeight="1">
      <c r="D237" s="75"/>
      <c r="E237" s="75"/>
      <c r="F237" s="75"/>
      <c r="G237" s="75"/>
      <c r="L237" s="76"/>
      <c r="N237" s="77"/>
    </row>
    <row r="238" spans="4:14" ht="16.5" customHeight="1">
      <c r="D238" s="75"/>
      <c r="E238" s="75"/>
      <c r="F238" s="75"/>
      <c r="G238" s="75"/>
      <c r="L238" s="76"/>
      <c r="N238" s="77"/>
    </row>
    <row r="239" spans="4:14" ht="16.5" customHeight="1">
      <c r="D239" s="75"/>
      <c r="E239" s="75"/>
      <c r="F239" s="75"/>
      <c r="G239" s="75"/>
      <c r="L239" s="76"/>
      <c r="N239" s="77"/>
    </row>
    <row r="240" spans="4:14" ht="16.5" customHeight="1">
      <c r="D240" s="75"/>
      <c r="E240" s="75"/>
      <c r="F240" s="75"/>
      <c r="G240" s="75"/>
      <c r="L240" s="76"/>
      <c r="N240" s="77"/>
    </row>
    <row r="241" spans="4:14" ht="16.5" customHeight="1">
      <c r="D241" s="75"/>
      <c r="E241" s="75"/>
      <c r="F241" s="75"/>
      <c r="G241" s="75"/>
      <c r="L241" s="76"/>
      <c r="N241" s="77"/>
    </row>
    <row r="242" spans="4:14" ht="16.5" customHeight="1">
      <c r="D242" s="75"/>
      <c r="E242" s="75"/>
      <c r="F242" s="75"/>
      <c r="G242" s="75"/>
      <c r="L242" s="76"/>
      <c r="N242" s="77"/>
    </row>
    <row r="243" spans="4:14" ht="16.5" customHeight="1">
      <c r="D243" s="75"/>
      <c r="E243" s="75"/>
      <c r="F243" s="75"/>
      <c r="G243" s="75"/>
      <c r="L243" s="76"/>
      <c r="N243" s="77"/>
    </row>
    <row r="244" spans="4:14" ht="16.5" customHeight="1">
      <c r="D244" s="75"/>
      <c r="E244" s="75"/>
      <c r="F244" s="75"/>
      <c r="G244" s="75"/>
      <c r="L244" s="76"/>
      <c r="N244" s="77"/>
    </row>
    <row r="245" spans="4:14" ht="16.5" customHeight="1">
      <c r="D245" s="75"/>
      <c r="E245" s="75"/>
      <c r="F245" s="75"/>
      <c r="G245" s="75"/>
      <c r="L245" s="76"/>
      <c r="N245" s="77"/>
    </row>
    <row r="246" spans="4:14" ht="16.5" customHeight="1">
      <c r="D246" s="75"/>
      <c r="E246" s="75"/>
      <c r="F246" s="75"/>
      <c r="G246" s="75"/>
      <c r="L246" s="76"/>
      <c r="N246" s="77"/>
    </row>
    <row r="247" spans="4:14" ht="16.5" customHeight="1">
      <c r="D247" s="75"/>
      <c r="E247" s="75"/>
      <c r="F247" s="75"/>
      <c r="G247" s="75"/>
      <c r="L247" s="76"/>
      <c r="N247" s="77"/>
    </row>
    <row r="248" spans="4:14" ht="16.5" customHeight="1">
      <c r="D248" s="75"/>
      <c r="E248" s="75"/>
      <c r="F248" s="75"/>
      <c r="G248" s="75"/>
      <c r="L248" s="76"/>
      <c r="N248" s="77"/>
    </row>
    <row r="249" spans="4:14" ht="16.5" customHeight="1">
      <c r="D249" s="75"/>
      <c r="E249" s="75"/>
      <c r="F249" s="75"/>
      <c r="G249" s="75"/>
      <c r="L249" s="76"/>
      <c r="N249" s="77"/>
    </row>
    <row r="250" spans="4:14" ht="16.5" customHeight="1">
      <c r="D250" s="75"/>
      <c r="E250" s="75"/>
      <c r="F250" s="75"/>
      <c r="G250" s="75"/>
      <c r="L250" s="76"/>
      <c r="N250" s="77"/>
    </row>
    <row r="251" spans="4:14" ht="16.5" customHeight="1">
      <c r="D251" s="75"/>
      <c r="E251" s="75"/>
      <c r="F251" s="75"/>
      <c r="G251" s="75"/>
      <c r="L251" s="76"/>
      <c r="N251" s="77"/>
    </row>
    <row r="252" spans="4:14" ht="16.5" customHeight="1">
      <c r="D252" s="75"/>
      <c r="E252" s="75"/>
      <c r="F252" s="75"/>
      <c r="G252" s="75"/>
      <c r="L252" s="76"/>
      <c r="N252" s="77"/>
    </row>
    <row r="253" spans="4:14" ht="16.5" customHeight="1">
      <c r="D253" s="75"/>
      <c r="E253" s="75"/>
      <c r="F253" s="75"/>
      <c r="G253" s="75"/>
      <c r="L253" s="76"/>
      <c r="N253" s="77"/>
    </row>
    <row r="254" spans="4:14" ht="16.5" customHeight="1">
      <c r="D254" s="75"/>
      <c r="E254" s="75"/>
      <c r="F254" s="75"/>
      <c r="G254" s="75"/>
      <c r="L254" s="76"/>
      <c r="N254" s="77"/>
    </row>
    <row r="255" spans="4:14" ht="16.5" customHeight="1">
      <c r="D255" s="75"/>
      <c r="E255" s="75"/>
      <c r="F255" s="75"/>
      <c r="G255" s="75"/>
      <c r="L255" s="76"/>
      <c r="N255" s="77"/>
    </row>
    <row r="256" spans="4:14" ht="16.5" customHeight="1">
      <c r="D256" s="75"/>
      <c r="E256" s="75"/>
      <c r="F256" s="75"/>
      <c r="G256" s="75"/>
      <c r="L256" s="76"/>
      <c r="N256" s="77"/>
    </row>
    <row r="257" spans="4:14" ht="16.5" customHeight="1">
      <c r="D257" s="75"/>
      <c r="E257" s="75"/>
      <c r="F257" s="75"/>
      <c r="G257" s="75"/>
      <c r="L257" s="76"/>
      <c r="N257" s="77"/>
    </row>
    <row r="258" spans="4:14" ht="16.5" customHeight="1">
      <c r="D258" s="75"/>
      <c r="E258" s="75"/>
      <c r="F258" s="75"/>
      <c r="G258" s="75"/>
      <c r="L258" s="76"/>
      <c r="N258" s="77"/>
    </row>
    <row r="259" spans="4:14" ht="16.5" customHeight="1">
      <c r="D259" s="75"/>
      <c r="E259" s="75"/>
      <c r="F259" s="75"/>
      <c r="G259" s="75"/>
      <c r="L259" s="76"/>
      <c r="N259" s="77"/>
    </row>
    <row r="260" spans="4:14" ht="16.5" customHeight="1">
      <c r="D260" s="75"/>
      <c r="E260" s="75"/>
      <c r="F260" s="75"/>
      <c r="G260" s="75"/>
      <c r="L260" s="76"/>
      <c r="N260" s="77"/>
    </row>
    <row r="261" spans="4:14" ht="16.5" customHeight="1">
      <c r="D261" s="75"/>
      <c r="E261" s="75"/>
      <c r="F261" s="75"/>
      <c r="G261" s="75"/>
      <c r="L261" s="76"/>
      <c r="N261" s="77"/>
    </row>
    <row r="262" spans="4:14" ht="16.5" customHeight="1">
      <c r="D262" s="75"/>
      <c r="E262" s="75"/>
      <c r="F262" s="75"/>
      <c r="G262" s="75"/>
      <c r="L262" s="76"/>
      <c r="N262" s="77"/>
    </row>
    <row r="263" spans="4:14" ht="16.5" customHeight="1">
      <c r="D263" s="75"/>
      <c r="E263" s="75"/>
      <c r="F263" s="75"/>
      <c r="G263" s="75"/>
      <c r="L263" s="76"/>
      <c r="N263" s="77"/>
    </row>
    <row r="264" spans="4:14" ht="16.5" customHeight="1">
      <c r="D264" s="75"/>
      <c r="E264" s="75"/>
      <c r="F264" s="75"/>
      <c r="G264" s="75"/>
      <c r="L264" s="76"/>
      <c r="N264" s="77"/>
    </row>
    <row r="265" spans="4:14" ht="16.5" customHeight="1">
      <c r="D265" s="75"/>
      <c r="E265" s="75"/>
      <c r="F265" s="75"/>
      <c r="G265" s="75"/>
      <c r="L265" s="76"/>
      <c r="N265" s="77"/>
    </row>
    <row r="266" spans="4:14" ht="16.5" customHeight="1">
      <c r="D266" s="75"/>
      <c r="E266" s="75"/>
      <c r="F266" s="75"/>
      <c r="G266" s="75"/>
      <c r="L266" s="76"/>
      <c r="N266" s="77"/>
    </row>
    <row r="267" spans="4:14" ht="16.5" customHeight="1">
      <c r="D267" s="75"/>
      <c r="E267" s="75"/>
      <c r="F267" s="75"/>
      <c r="G267" s="75"/>
      <c r="L267" s="76"/>
      <c r="N267" s="77"/>
    </row>
    <row r="268" spans="4:14" ht="16.5" customHeight="1">
      <c r="D268" s="75"/>
      <c r="E268" s="75"/>
      <c r="F268" s="75"/>
      <c r="G268" s="75"/>
      <c r="L268" s="76"/>
      <c r="N268" s="77"/>
    </row>
    <row r="269" spans="4:14" ht="16.5" customHeight="1">
      <c r="D269" s="75"/>
      <c r="E269" s="75"/>
      <c r="F269" s="75"/>
      <c r="G269" s="75"/>
      <c r="L269" s="76"/>
      <c r="N269" s="77"/>
    </row>
    <row r="270" spans="4:14" ht="16.5" customHeight="1">
      <c r="D270" s="75"/>
      <c r="E270" s="75"/>
      <c r="F270" s="75"/>
      <c r="G270" s="75"/>
      <c r="L270" s="76"/>
      <c r="N270" s="77"/>
    </row>
    <row r="271" spans="4:14" ht="16.5" customHeight="1">
      <c r="D271" s="75"/>
      <c r="E271" s="75"/>
      <c r="F271" s="75"/>
      <c r="G271" s="75"/>
      <c r="L271" s="76"/>
      <c r="N271" s="77"/>
    </row>
    <row r="272" spans="4:14" ht="16.5" customHeight="1">
      <c r="D272" s="75"/>
      <c r="E272" s="75"/>
      <c r="F272" s="75"/>
      <c r="G272" s="75"/>
      <c r="L272" s="76"/>
      <c r="N272" s="77"/>
    </row>
    <row r="273" spans="4:14" ht="16.5" customHeight="1">
      <c r="D273" s="75"/>
      <c r="E273" s="75"/>
      <c r="F273" s="75"/>
      <c r="G273" s="75"/>
      <c r="L273" s="76"/>
      <c r="N273" s="77"/>
    </row>
    <row r="274" spans="4:14" ht="16.5" customHeight="1">
      <c r="D274" s="75"/>
      <c r="E274" s="75"/>
      <c r="F274" s="75"/>
      <c r="G274" s="75"/>
      <c r="L274" s="76"/>
      <c r="N274" s="77"/>
    </row>
    <row r="275" spans="4:14" ht="16.5" customHeight="1">
      <c r="D275" s="75"/>
      <c r="E275" s="75"/>
      <c r="F275" s="75"/>
      <c r="G275" s="75"/>
      <c r="L275" s="76"/>
      <c r="N275" s="77"/>
    </row>
    <row r="276" spans="4:14" ht="16.5" customHeight="1">
      <c r="D276" s="75"/>
      <c r="E276" s="75"/>
      <c r="F276" s="75"/>
      <c r="G276" s="75"/>
      <c r="L276" s="76"/>
      <c r="N276" s="77"/>
    </row>
    <row r="277" spans="4:14" ht="16.5" customHeight="1">
      <c r="D277" s="75"/>
      <c r="E277" s="75"/>
      <c r="F277" s="75"/>
      <c r="G277" s="75"/>
      <c r="L277" s="76"/>
      <c r="N277" s="77"/>
    </row>
    <row r="278" spans="4:14" ht="16.5" customHeight="1">
      <c r="D278" s="75"/>
      <c r="E278" s="75"/>
      <c r="F278" s="75"/>
      <c r="G278" s="75"/>
      <c r="L278" s="76"/>
      <c r="N278" s="77"/>
    </row>
    <row r="279" spans="4:14" ht="16.5" customHeight="1">
      <c r="D279" s="75"/>
      <c r="E279" s="75"/>
      <c r="F279" s="75"/>
      <c r="G279" s="75"/>
      <c r="L279" s="76"/>
      <c r="N279" s="77"/>
    </row>
    <row r="280" spans="4:14" ht="16.5" customHeight="1">
      <c r="D280" s="75"/>
      <c r="E280" s="75"/>
      <c r="F280" s="75"/>
      <c r="G280" s="75"/>
      <c r="L280" s="76"/>
      <c r="N280" s="77"/>
    </row>
    <row r="281" spans="4:14" ht="16.5" customHeight="1">
      <c r="D281" s="75"/>
      <c r="E281" s="75"/>
      <c r="F281" s="75"/>
      <c r="G281" s="75"/>
      <c r="L281" s="76"/>
      <c r="N281" s="77"/>
    </row>
    <row r="282" spans="4:14" ht="16.5" customHeight="1">
      <c r="D282" s="75"/>
      <c r="E282" s="75"/>
      <c r="F282" s="75"/>
      <c r="G282" s="75"/>
      <c r="L282" s="76"/>
      <c r="N282" s="77"/>
    </row>
    <row r="283" spans="4:14" ht="16.5" customHeight="1">
      <c r="D283" s="75"/>
      <c r="E283" s="75"/>
      <c r="F283" s="75"/>
      <c r="G283" s="75"/>
      <c r="L283" s="76"/>
      <c r="N283" s="77"/>
    </row>
    <row r="284" spans="4:14" ht="16.5" customHeight="1">
      <c r="D284" s="75"/>
      <c r="E284" s="75"/>
      <c r="F284" s="75"/>
      <c r="G284" s="75"/>
      <c r="L284" s="76"/>
      <c r="N284" s="77"/>
    </row>
    <row r="285" spans="4:14" ht="16.5" customHeight="1">
      <c r="D285" s="75"/>
      <c r="E285" s="75"/>
      <c r="F285" s="75"/>
      <c r="G285" s="75"/>
      <c r="L285" s="76"/>
      <c r="N285" s="77"/>
    </row>
    <row r="286" spans="4:14" ht="16.5" customHeight="1">
      <c r="D286" s="75"/>
      <c r="E286" s="75"/>
      <c r="F286" s="75"/>
      <c r="G286" s="75"/>
      <c r="L286" s="76"/>
      <c r="N286" s="77"/>
    </row>
    <row r="287" spans="4:14" ht="16.5" customHeight="1">
      <c r="D287" s="75"/>
      <c r="E287" s="75"/>
      <c r="F287" s="75"/>
      <c r="G287" s="75"/>
      <c r="L287" s="76"/>
      <c r="N287" s="77"/>
    </row>
    <row r="288" spans="4:14" ht="16.5" customHeight="1">
      <c r="D288" s="75"/>
      <c r="E288" s="75"/>
      <c r="F288" s="75"/>
      <c r="G288" s="75"/>
      <c r="L288" s="76"/>
      <c r="N288" s="77"/>
    </row>
    <row r="289" spans="4:14" ht="16.5" customHeight="1">
      <c r="D289" s="75"/>
      <c r="E289" s="75"/>
      <c r="F289" s="75"/>
      <c r="G289" s="75"/>
      <c r="L289" s="76"/>
      <c r="N289" s="77"/>
    </row>
    <row r="290" spans="4:14" ht="16.5" customHeight="1">
      <c r="D290" s="75"/>
      <c r="E290" s="75"/>
      <c r="F290" s="75"/>
      <c r="G290" s="75"/>
      <c r="L290" s="76"/>
      <c r="N290" s="77"/>
    </row>
    <row r="291" spans="4:14" ht="16.5" customHeight="1">
      <c r="D291" s="75"/>
      <c r="E291" s="75"/>
      <c r="F291" s="75"/>
      <c r="G291" s="75"/>
      <c r="L291" s="76"/>
      <c r="N291" s="77"/>
    </row>
    <row r="292" spans="4:14" ht="16.5" customHeight="1">
      <c r="D292" s="75"/>
      <c r="E292" s="75"/>
      <c r="F292" s="75"/>
      <c r="G292" s="75"/>
      <c r="L292" s="76"/>
      <c r="N292" s="77"/>
    </row>
    <row r="293" spans="4:14" ht="16.5" customHeight="1">
      <c r="D293" s="75"/>
      <c r="E293" s="75"/>
      <c r="F293" s="75"/>
      <c r="G293" s="75"/>
      <c r="L293" s="76"/>
      <c r="N293" s="77"/>
    </row>
    <row r="294" spans="4:14" ht="16.5" customHeight="1">
      <c r="D294" s="75"/>
      <c r="E294" s="75"/>
      <c r="F294" s="75"/>
      <c r="G294" s="75"/>
      <c r="L294" s="76"/>
      <c r="N294" s="77"/>
    </row>
    <row r="295" spans="4:14" ht="16.5" customHeight="1">
      <c r="D295" s="75"/>
      <c r="E295" s="75"/>
      <c r="F295" s="75"/>
      <c r="G295" s="75"/>
      <c r="L295" s="76"/>
      <c r="N295" s="77"/>
    </row>
    <row r="296" spans="4:14" ht="16.5" customHeight="1">
      <c r="D296" s="75"/>
      <c r="E296" s="75"/>
      <c r="F296" s="75"/>
      <c r="G296" s="75"/>
      <c r="L296" s="76"/>
      <c r="N296" s="77"/>
    </row>
    <row r="297" spans="4:14" ht="16.5" customHeight="1">
      <c r="D297" s="75"/>
      <c r="E297" s="75"/>
      <c r="F297" s="75"/>
      <c r="G297" s="75"/>
      <c r="L297" s="76"/>
      <c r="N297" s="77"/>
    </row>
    <row r="298" spans="4:14" ht="16.5" customHeight="1">
      <c r="D298" s="75"/>
      <c r="E298" s="75"/>
      <c r="F298" s="75"/>
      <c r="G298" s="75"/>
      <c r="L298" s="76"/>
      <c r="N298" s="77"/>
    </row>
    <row r="299" spans="4:14" ht="16.5" customHeight="1">
      <c r="D299" s="75"/>
      <c r="E299" s="75"/>
      <c r="F299" s="75"/>
      <c r="G299" s="75"/>
      <c r="L299" s="76"/>
      <c r="N299" s="77"/>
    </row>
    <row r="300" spans="4:14" ht="16.5" customHeight="1">
      <c r="D300" s="75"/>
      <c r="E300" s="75"/>
      <c r="F300" s="75"/>
      <c r="G300" s="75"/>
      <c r="L300" s="76"/>
      <c r="N300" s="77"/>
    </row>
    <row r="301" spans="4:14" ht="16.5" customHeight="1">
      <c r="D301" s="75"/>
      <c r="E301" s="75"/>
      <c r="F301" s="75"/>
      <c r="G301" s="75"/>
      <c r="L301" s="76"/>
      <c r="N301" s="77"/>
    </row>
    <row r="302" spans="4:14" ht="16.5" customHeight="1">
      <c r="D302" s="75"/>
      <c r="E302" s="75"/>
      <c r="F302" s="75"/>
      <c r="G302" s="75"/>
      <c r="L302" s="76"/>
      <c r="N302" s="77"/>
    </row>
    <row r="303" spans="4:14" ht="16.5" customHeight="1">
      <c r="D303" s="75"/>
      <c r="E303" s="75"/>
      <c r="F303" s="75"/>
      <c r="G303" s="75"/>
      <c r="L303" s="76"/>
      <c r="N303" s="77"/>
    </row>
    <row r="304" spans="4:14" ht="16.5" customHeight="1">
      <c r="D304" s="75"/>
      <c r="E304" s="75"/>
      <c r="F304" s="75"/>
      <c r="G304" s="75"/>
      <c r="L304" s="76"/>
      <c r="N304" s="77"/>
    </row>
    <row r="305" spans="4:14" ht="16.5" customHeight="1">
      <c r="D305" s="75"/>
      <c r="E305" s="75"/>
      <c r="F305" s="75"/>
      <c r="G305" s="75"/>
      <c r="L305" s="76"/>
      <c r="N305" s="77"/>
    </row>
    <row r="306" spans="4:14" ht="16.5" customHeight="1">
      <c r="D306" s="75"/>
      <c r="E306" s="75"/>
      <c r="F306" s="75"/>
      <c r="G306" s="75"/>
      <c r="L306" s="76"/>
      <c r="N306" s="77"/>
    </row>
    <row r="307" spans="4:14" ht="16.5" customHeight="1">
      <c r="D307" s="75"/>
      <c r="E307" s="75"/>
      <c r="F307" s="75"/>
      <c r="G307" s="75"/>
      <c r="L307" s="76"/>
      <c r="N307" s="77"/>
    </row>
    <row r="308" spans="4:14" ht="16.5" customHeight="1">
      <c r="D308" s="75"/>
      <c r="E308" s="75"/>
      <c r="F308" s="75"/>
      <c r="G308" s="75"/>
      <c r="L308" s="76"/>
      <c r="N308" s="77"/>
    </row>
    <row r="309" spans="4:14" ht="16.5" customHeight="1">
      <c r="D309" s="75"/>
      <c r="E309" s="75"/>
      <c r="F309" s="75"/>
      <c r="G309" s="75"/>
      <c r="L309" s="76"/>
      <c r="N309" s="77"/>
    </row>
    <row r="310" spans="4:14" ht="16.5" customHeight="1">
      <c r="D310" s="75"/>
      <c r="E310" s="75"/>
      <c r="F310" s="75"/>
      <c r="G310" s="75"/>
      <c r="L310" s="76"/>
      <c r="N310" s="77"/>
    </row>
    <row r="311" spans="4:14" ht="16.5" customHeight="1">
      <c r="D311" s="75"/>
      <c r="E311" s="75"/>
      <c r="F311" s="75"/>
      <c r="G311" s="75"/>
      <c r="L311" s="76"/>
      <c r="N311" s="77"/>
    </row>
    <row r="312" spans="4:14" ht="16.5" customHeight="1">
      <c r="D312" s="75"/>
      <c r="E312" s="75"/>
      <c r="F312" s="75"/>
      <c r="G312" s="75"/>
      <c r="L312" s="76"/>
      <c r="N312" s="77"/>
    </row>
    <row r="313" spans="4:14" ht="16.5" customHeight="1">
      <c r="D313" s="75"/>
      <c r="E313" s="75"/>
      <c r="F313" s="75"/>
      <c r="G313" s="75"/>
      <c r="L313" s="76"/>
      <c r="N313" s="77"/>
    </row>
    <row r="314" spans="4:14" ht="16.5" customHeight="1">
      <c r="D314" s="75"/>
      <c r="E314" s="75"/>
      <c r="F314" s="75"/>
      <c r="G314" s="75"/>
      <c r="L314" s="76"/>
      <c r="N314" s="77"/>
    </row>
    <row r="315" spans="4:14" ht="16.5" customHeight="1">
      <c r="D315" s="75"/>
      <c r="E315" s="75"/>
      <c r="F315" s="75"/>
      <c r="G315" s="75"/>
      <c r="L315" s="76"/>
      <c r="N315" s="77"/>
    </row>
    <row r="316" spans="4:14" ht="16.5" customHeight="1">
      <c r="D316" s="75"/>
      <c r="E316" s="75"/>
      <c r="F316" s="75"/>
      <c r="G316" s="75"/>
      <c r="L316" s="76"/>
      <c r="N316" s="77"/>
    </row>
    <row r="317" spans="4:14" ht="16.5" customHeight="1">
      <c r="D317" s="75"/>
      <c r="E317" s="75"/>
      <c r="F317" s="75"/>
      <c r="G317" s="75"/>
      <c r="L317" s="76"/>
      <c r="N317" s="77"/>
    </row>
    <row r="318" spans="4:14" ht="16.5" customHeight="1">
      <c r="D318" s="75"/>
      <c r="E318" s="75"/>
      <c r="F318" s="75"/>
      <c r="G318" s="75"/>
      <c r="L318" s="76"/>
      <c r="N318" s="77"/>
    </row>
    <row r="319" spans="4:14" ht="16.5" customHeight="1">
      <c r="D319" s="75"/>
      <c r="E319" s="75"/>
      <c r="F319" s="75"/>
      <c r="G319" s="75"/>
      <c r="L319" s="76"/>
      <c r="N319" s="77"/>
    </row>
    <row r="320" spans="4:14" ht="16.5" customHeight="1">
      <c r="D320" s="75"/>
      <c r="E320" s="75"/>
      <c r="F320" s="75"/>
      <c r="G320" s="75"/>
      <c r="L320" s="76"/>
      <c r="N320" s="77"/>
    </row>
    <row r="321" spans="4:14" ht="16.5" customHeight="1">
      <c r="D321" s="75"/>
      <c r="E321" s="75"/>
      <c r="F321" s="75"/>
      <c r="G321" s="75"/>
      <c r="L321" s="76"/>
      <c r="N321" s="77"/>
    </row>
    <row r="322" spans="4:14" ht="16.5" customHeight="1">
      <c r="D322" s="75"/>
      <c r="E322" s="75"/>
      <c r="F322" s="75"/>
      <c r="G322" s="75"/>
      <c r="L322" s="76"/>
      <c r="N322" s="77"/>
    </row>
    <row r="323" spans="4:14" ht="16.5" customHeight="1">
      <c r="D323" s="75"/>
      <c r="E323" s="75"/>
      <c r="F323" s="75"/>
      <c r="G323" s="75"/>
      <c r="L323" s="76"/>
      <c r="N323" s="77"/>
    </row>
    <row r="324" spans="4:14" ht="16.5" customHeight="1">
      <c r="D324" s="75"/>
      <c r="E324" s="75"/>
      <c r="F324" s="75"/>
      <c r="G324" s="75"/>
      <c r="L324" s="76"/>
      <c r="N324" s="77"/>
    </row>
    <row r="325" spans="4:14" ht="16.5" customHeight="1">
      <c r="D325" s="75"/>
      <c r="E325" s="75"/>
      <c r="F325" s="75"/>
      <c r="G325" s="75"/>
      <c r="L325" s="76"/>
      <c r="N325" s="77"/>
    </row>
    <row r="326" spans="4:14" ht="16.5" customHeight="1">
      <c r="D326" s="75"/>
      <c r="E326" s="75"/>
      <c r="F326" s="75"/>
      <c r="G326" s="75"/>
      <c r="L326" s="76"/>
      <c r="N326" s="77"/>
    </row>
    <row r="327" spans="4:14" ht="16.5" customHeight="1">
      <c r="D327" s="75"/>
      <c r="E327" s="75"/>
      <c r="F327" s="75"/>
      <c r="G327" s="75"/>
      <c r="L327" s="76"/>
      <c r="N327" s="77"/>
    </row>
    <row r="328" spans="4:14" ht="16.5" customHeight="1">
      <c r="D328" s="75"/>
      <c r="E328" s="75"/>
      <c r="F328" s="75"/>
      <c r="G328" s="75"/>
      <c r="L328" s="76"/>
      <c r="N328" s="77"/>
    </row>
    <row r="329" spans="4:14" ht="16.5" customHeight="1">
      <c r="D329" s="75"/>
      <c r="E329" s="75"/>
      <c r="F329" s="75"/>
      <c r="G329" s="75"/>
      <c r="L329" s="76"/>
      <c r="N329" s="77"/>
    </row>
    <row r="330" spans="4:14" ht="16.5" customHeight="1">
      <c r="D330" s="75"/>
      <c r="E330" s="75"/>
      <c r="F330" s="75"/>
      <c r="G330" s="75"/>
      <c r="L330" s="76"/>
      <c r="N330" s="77"/>
    </row>
    <row r="331" spans="4:14" ht="16.5" customHeight="1">
      <c r="D331" s="75"/>
      <c r="E331" s="75"/>
      <c r="F331" s="75"/>
      <c r="G331" s="75"/>
      <c r="L331" s="76"/>
      <c r="N331" s="77"/>
    </row>
    <row r="332" spans="4:14" ht="16.5" customHeight="1">
      <c r="D332" s="75"/>
      <c r="E332" s="75"/>
      <c r="F332" s="75"/>
      <c r="G332" s="75"/>
      <c r="L332" s="76"/>
      <c r="N332" s="77"/>
    </row>
    <row r="333" spans="4:14" ht="16.5" customHeight="1">
      <c r="D333" s="75"/>
      <c r="E333" s="75"/>
      <c r="F333" s="75"/>
      <c r="G333" s="75"/>
      <c r="L333" s="76"/>
      <c r="N333" s="77"/>
    </row>
    <row r="334" spans="4:14" ht="16.5" customHeight="1">
      <c r="D334" s="75"/>
      <c r="E334" s="75"/>
      <c r="F334" s="75"/>
      <c r="G334" s="75"/>
      <c r="L334" s="76"/>
      <c r="N334" s="77"/>
    </row>
    <row r="335" spans="4:14" ht="16.5" customHeight="1">
      <c r="D335" s="75"/>
      <c r="E335" s="75"/>
      <c r="F335" s="75"/>
      <c r="G335" s="75"/>
      <c r="L335" s="76"/>
      <c r="N335" s="77"/>
    </row>
    <row r="336" spans="4:14" ht="16.5" customHeight="1">
      <c r="D336" s="75"/>
      <c r="E336" s="75"/>
      <c r="F336" s="75"/>
      <c r="G336" s="75"/>
      <c r="L336" s="76"/>
      <c r="N336" s="77"/>
    </row>
    <row r="337" spans="4:14" ht="16.5" customHeight="1">
      <c r="D337" s="75"/>
      <c r="E337" s="75"/>
      <c r="F337" s="75"/>
      <c r="G337" s="75"/>
      <c r="L337" s="76"/>
      <c r="N337" s="77"/>
    </row>
    <row r="338" spans="4:14" ht="16.5" customHeight="1">
      <c r="D338" s="75"/>
      <c r="E338" s="75"/>
      <c r="F338" s="75"/>
      <c r="G338" s="75"/>
      <c r="L338" s="76"/>
      <c r="N338" s="77"/>
    </row>
    <row r="339" spans="4:14" ht="16.5" customHeight="1">
      <c r="D339" s="75"/>
      <c r="E339" s="75"/>
      <c r="F339" s="75"/>
      <c r="G339" s="75"/>
      <c r="L339" s="76"/>
      <c r="N339" s="77"/>
    </row>
    <row r="340" spans="4:14" ht="16.5" customHeight="1">
      <c r="D340" s="75"/>
      <c r="E340" s="75"/>
      <c r="F340" s="75"/>
      <c r="G340" s="75"/>
      <c r="L340" s="76"/>
      <c r="N340" s="77"/>
    </row>
    <row r="341" spans="4:14" ht="16.5" customHeight="1">
      <c r="D341" s="75"/>
      <c r="E341" s="75"/>
      <c r="F341" s="75"/>
      <c r="G341" s="75"/>
      <c r="L341" s="76"/>
      <c r="N341" s="77"/>
    </row>
    <row r="342" spans="4:14" ht="16.5" customHeight="1">
      <c r="D342" s="75"/>
      <c r="E342" s="75"/>
      <c r="F342" s="75"/>
      <c r="G342" s="75"/>
      <c r="L342" s="76"/>
      <c r="N342" s="77"/>
    </row>
    <row r="343" spans="4:14" ht="16.5" customHeight="1">
      <c r="D343" s="75"/>
      <c r="E343" s="75"/>
      <c r="F343" s="75"/>
      <c r="G343" s="75"/>
      <c r="L343" s="76"/>
      <c r="N343" s="77"/>
    </row>
    <row r="344" spans="4:14" ht="16.5" customHeight="1">
      <c r="D344" s="75"/>
      <c r="E344" s="75"/>
      <c r="F344" s="75"/>
      <c r="G344" s="75"/>
      <c r="L344" s="76"/>
      <c r="N344" s="77"/>
    </row>
    <row r="345" spans="4:14" ht="16.5" customHeight="1">
      <c r="D345" s="75"/>
      <c r="E345" s="75"/>
      <c r="F345" s="75"/>
      <c r="G345" s="75"/>
      <c r="L345" s="76"/>
      <c r="N345" s="77"/>
    </row>
    <row r="346" spans="4:14" ht="16.5" customHeight="1">
      <c r="D346" s="75"/>
      <c r="E346" s="75"/>
      <c r="F346" s="75"/>
      <c r="G346" s="75"/>
      <c r="L346" s="76"/>
      <c r="N346" s="77"/>
    </row>
    <row r="347" spans="4:14" ht="16.5" customHeight="1">
      <c r="D347" s="75"/>
      <c r="E347" s="75"/>
      <c r="F347" s="75"/>
      <c r="G347" s="75"/>
      <c r="L347" s="76"/>
      <c r="N347" s="77"/>
    </row>
    <row r="348" spans="4:14" ht="16.5" customHeight="1">
      <c r="D348" s="75"/>
      <c r="E348" s="75"/>
      <c r="F348" s="75"/>
      <c r="G348" s="75"/>
      <c r="L348" s="76"/>
      <c r="N348" s="77"/>
    </row>
    <row r="349" spans="4:14" ht="16.5" customHeight="1">
      <c r="D349" s="75"/>
      <c r="E349" s="75"/>
      <c r="F349" s="75"/>
      <c r="G349" s="75"/>
      <c r="L349" s="76"/>
      <c r="N349" s="77"/>
    </row>
    <row r="350" spans="4:14" ht="16.5" customHeight="1">
      <c r="D350" s="75"/>
      <c r="E350" s="75"/>
      <c r="F350" s="75"/>
      <c r="G350" s="75"/>
      <c r="L350" s="76"/>
      <c r="N350" s="77"/>
    </row>
    <row r="351" spans="4:14" ht="16.5" customHeight="1">
      <c r="D351" s="75"/>
      <c r="E351" s="75"/>
      <c r="F351" s="75"/>
      <c r="G351" s="75"/>
      <c r="L351" s="76"/>
      <c r="N351" s="77"/>
    </row>
    <row r="352" spans="4:14" ht="16.5" customHeight="1">
      <c r="D352" s="75"/>
      <c r="E352" s="75"/>
      <c r="F352" s="75"/>
      <c r="G352" s="75"/>
      <c r="L352" s="76"/>
      <c r="N352" s="77"/>
    </row>
    <row r="353" spans="4:14" ht="16.5" customHeight="1">
      <c r="D353" s="75"/>
      <c r="E353" s="75"/>
      <c r="F353" s="75"/>
      <c r="G353" s="75"/>
      <c r="L353" s="76"/>
      <c r="N353" s="77"/>
    </row>
    <row r="354" spans="4:14" ht="16.5" customHeight="1">
      <c r="D354" s="75"/>
      <c r="E354" s="75"/>
      <c r="F354" s="75"/>
      <c r="G354" s="75"/>
      <c r="L354" s="76"/>
      <c r="N354" s="77"/>
    </row>
    <row r="355" spans="4:14" ht="16.5" customHeight="1">
      <c r="D355" s="75"/>
      <c r="E355" s="75"/>
      <c r="F355" s="75"/>
      <c r="G355" s="75"/>
      <c r="L355" s="76"/>
      <c r="N355" s="77"/>
    </row>
    <row r="356" spans="4:14" ht="16.5" customHeight="1">
      <c r="D356" s="75"/>
      <c r="E356" s="75"/>
      <c r="F356" s="75"/>
      <c r="G356" s="75"/>
      <c r="L356" s="76"/>
      <c r="N356" s="77"/>
    </row>
    <row r="357" spans="4:14" ht="16.5" customHeight="1">
      <c r="D357" s="75"/>
      <c r="E357" s="75"/>
      <c r="F357" s="75"/>
      <c r="G357" s="75"/>
      <c r="L357" s="76"/>
      <c r="N357" s="77"/>
    </row>
    <row r="358" spans="4:14" ht="16.5" customHeight="1">
      <c r="D358" s="75"/>
      <c r="E358" s="75"/>
      <c r="F358" s="75"/>
      <c r="G358" s="75"/>
      <c r="L358" s="76"/>
      <c r="N358" s="77"/>
    </row>
    <row r="359" spans="4:14" ht="16.5" customHeight="1">
      <c r="D359" s="75"/>
      <c r="E359" s="75"/>
      <c r="F359" s="75"/>
      <c r="G359" s="75"/>
      <c r="L359" s="76"/>
      <c r="N359" s="77"/>
    </row>
    <row r="360" spans="4:14" ht="16.5" customHeight="1">
      <c r="D360" s="75"/>
      <c r="E360" s="75"/>
      <c r="F360" s="75"/>
      <c r="G360" s="75"/>
      <c r="L360" s="76"/>
      <c r="N360" s="77"/>
    </row>
    <row r="361" spans="4:14" ht="16.5" customHeight="1">
      <c r="D361" s="75"/>
      <c r="E361" s="75"/>
      <c r="F361" s="75"/>
      <c r="G361" s="75"/>
      <c r="L361" s="76"/>
      <c r="N361" s="77"/>
    </row>
    <row r="362" spans="4:14" ht="16.5" customHeight="1">
      <c r="D362" s="75"/>
      <c r="E362" s="75"/>
      <c r="F362" s="75"/>
      <c r="G362" s="75"/>
      <c r="L362" s="76"/>
      <c r="N362" s="77"/>
    </row>
    <row r="363" spans="4:14" ht="16.5" customHeight="1">
      <c r="D363" s="75"/>
      <c r="E363" s="75"/>
      <c r="F363" s="75"/>
      <c r="G363" s="75"/>
      <c r="L363" s="76"/>
      <c r="N363" s="77"/>
    </row>
    <row r="364" spans="4:14" ht="16.5" customHeight="1">
      <c r="D364" s="75"/>
      <c r="E364" s="75"/>
      <c r="F364" s="75"/>
      <c r="G364" s="75"/>
      <c r="L364" s="76"/>
      <c r="N364" s="77"/>
    </row>
    <row r="365" spans="4:14" ht="16.5" customHeight="1">
      <c r="D365" s="75"/>
      <c r="E365" s="75"/>
      <c r="F365" s="75"/>
      <c r="G365" s="75"/>
      <c r="L365" s="76"/>
      <c r="N365" s="77"/>
    </row>
    <row r="366" spans="4:14" ht="16.5" customHeight="1">
      <c r="D366" s="75"/>
      <c r="E366" s="75"/>
      <c r="F366" s="75"/>
      <c r="G366" s="75"/>
      <c r="L366" s="76"/>
      <c r="N366" s="77"/>
    </row>
    <row r="367" spans="4:14" ht="16.5" customHeight="1">
      <c r="D367" s="75"/>
      <c r="E367" s="75"/>
      <c r="F367" s="75"/>
      <c r="G367" s="75"/>
      <c r="L367" s="76"/>
      <c r="N367" s="77"/>
    </row>
    <row r="368" spans="4:14" ht="16.5" customHeight="1">
      <c r="D368" s="75"/>
      <c r="E368" s="75"/>
      <c r="F368" s="75"/>
      <c r="G368" s="75"/>
      <c r="L368" s="76"/>
      <c r="N368" s="77"/>
    </row>
    <row r="369" spans="4:14" ht="16.5" customHeight="1">
      <c r="D369" s="75"/>
      <c r="E369" s="75"/>
      <c r="F369" s="75"/>
      <c r="G369" s="75"/>
      <c r="L369" s="76"/>
      <c r="N369" s="77"/>
    </row>
    <row r="370" spans="4:14" ht="16.5" customHeight="1">
      <c r="D370" s="75"/>
      <c r="E370" s="75"/>
      <c r="F370" s="75"/>
      <c r="G370" s="75"/>
      <c r="L370" s="76"/>
      <c r="N370" s="77"/>
    </row>
    <row r="371" spans="4:14" ht="16.5" customHeight="1">
      <c r="D371" s="75"/>
      <c r="E371" s="75"/>
      <c r="F371" s="75"/>
      <c r="G371" s="75"/>
      <c r="L371" s="76"/>
      <c r="N371" s="77"/>
    </row>
    <row r="372" spans="4:14" ht="16.5" customHeight="1">
      <c r="D372" s="75"/>
      <c r="E372" s="75"/>
      <c r="F372" s="75"/>
      <c r="G372" s="75"/>
      <c r="L372" s="76"/>
      <c r="N372" s="77"/>
    </row>
    <row r="373" spans="4:14" ht="16.5" customHeight="1">
      <c r="D373" s="75"/>
      <c r="E373" s="75"/>
      <c r="F373" s="75"/>
      <c r="G373" s="75"/>
      <c r="L373" s="76"/>
      <c r="N373" s="77"/>
    </row>
    <row r="374" spans="4:14" ht="16.5" customHeight="1">
      <c r="D374" s="75"/>
      <c r="E374" s="75"/>
      <c r="F374" s="75"/>
      <c r="G374" s="75"/>
      <c r="L374" s="76"/>
      <c r="N374" s="77"/>
    </row>
    <row r="375" spans="4:14" ht="16.5" customHeight="1">
      <c r="D375" s="75"/>
      <c r="E375" s="75"/>
      <c r="F375" s="75"/>
      <c r="G375" s="75"/>
      <c r="L375" s="76"/>
      <c r="N375" s="77"/>
    </row>
    <row r="376" spans="4:14" ht="16.5" customHeight="1">
      <c r="D376" s="75"/>
      <c r="E376" s="75"/>
      <c r="F376" s="75"/>
      <c r="G376" s="75"/>
      <c r="L376" s="76"/>
      <c r="N376" s="77"/>
    </row>
    <row r="377" spans="4:14" ht="16.5" customHeight="1">
      <c r="D377" s="75"/>
      <c r="E377" s="75"/>
      <c r="F377" s="75"/>
      <c r="G377" s="75"/>
      <c r="L377" s="76"/>
      <c r="N377" s="77"/>
    </row>
    <row r="378" spans="4:14" ht="16.5" customHeight="1">
      <c r="D378" s="75"/>
      <c r="E378" s="75"/>
      <c r="F378" s="75"/>
      <c r="G378" s="75"/>
      <c r="L378" s="76"/>
      <c r="N378" s="77"/>
    </row>
    <row r="379" spans="4:14" ht="16.5" customHeight="1">
      <c r="D379" s="75"/>
      <c r="E379" s="75"/>
      <c r="F379" s="75"/>
      <c r="G379" s="75"/>
      <c r="L379" s="76"/>
      <c r="N379" s="77"/>
    </row>
    <row r="380" spans="4:14" ht="16.5" customHeight="1">
      <c r="D380" s="75"/>
      <c r="E380" s="75"/>
      <c r="F380" s="75"/>
      <c r="G380" s="75"/>
      <c r="L380" s="76"/>
      <c r="N380" s="77"/>
    </row>
    <row r="381" spans="4:14" ht="16.5" customHeight="1">
      <c r="D381" s="75"/>
      <c r="E381" s="75"/>
      <c r="F381" s="75"/>
      <c r="G381" s="75"/>
      <c r="L381" s="76"/>
      <c r="N381" s="77"/>
    </row>
    <row r="382" spans="4:14" ht="16.5" customHeight="1">
      <c r="D382" s="75"/>
      <c r="E382" s="75"/>
      <c r="F382" s="75"/>
      <c r="G382" s="75"/>
      <c r="L382" s="76"/>
      <c r="N382" s="77"/>
    </row>
    <row r="383" spans="4:14" ht="16.5" customHeight="1">
      <c r="D383" s="75"/>
      <c r="E383" s="75"/>
      <c r="F383" s="75"/>
      <c r="G383" s="75"/>
      <c r="L383" s="76"/>
      <c r="N383" s="77"/>
    </row>
    <row r="384" spans="4:14" ht="16.5" customHeight="1">
      <c r="D384" s="75"/>
      <c r="E384" s="75"/>
      <c r="F384" s="75"/>
      <c r="G384" s="75"/>
      <c r="L384" s="76"/>
      <c r="N384" s="77"/>
    </row>
    <row r="385" spans="4:14" ht="16.5" customHeight="1">
      <c r="D385" s="75"/>
      <c r="E385" s="75"/>
      <c r="F385" s="75"/>
      <c r="G385" s="75"/>
      <c r="L385" s="76"/>
      <c r="N385" s="77"/>
    </row>
    <row r="386" spans="4:14" ht="16.5" customHeight="1">
      <c r="D386" s="75"/>
      <c r="E386" s="75"/>
      <c r="F386" s="75"/>
      <c r="G386" s="75"/>
      <c r="L386" s="76"/>
      <c r="N386" s="77"/>
    </row>
    <row r="387" spans="4:14" ht="16.5" customHeight="1">
      <c r="D387" s="75"/>
      <c r="E387" s="75"/>
      <c r="F387" s="75"/>
      <c r="G387" s="75"/>
      <c r="L387" s="76"/>
      <c r="N387" s="77"/>
    </row>
    <row r="388" spans="4:14" ht="16.5" customHeight="1">
      <c r="D388" s="75"/>
      <c r="E388" s="75"/>
      <c r="F388" s="75"/>
      <c r="G388" s="75"/>
      <c r="L388" s="76"/>
      <c r="N388" s="77"/>
    </row>
    <row r="389" spans="4:14" ht="16.5" customHeight="1">
      <c r="D389" s="75"/>
      <c r="E389" s="75"/>
      <c r="F389" s="75"/>
      <c r="G389" s="75"/>
      <c r="L389" s="76"/>
      <c r="N389" s="77"/>
    </row>
    <row r="390" spans="4:14" ht="16.5" customHeight="1">
      <c r="D390" s="75"/>
      <c r="E390" s="75"/>
      <c r="F390" s="75"/>
      <c r="G390" s="75"/>
      <c r="L390" s="76"/>
      <c r="N390" s="77"/>
    </row>
    <row r="391" spans="4:14" ht="16.5" customHeight="1">
      <c r="D391" s="75"/>
      <c r="E391" s="75"/>
      <c r="F391" s="75"/>
      <c r="G391" s="75"/>
      <c r="L391" s="76"/>
      <c r="N391" s="77"/>
    </row>
    <row r="392" spans="4:14" ht="16.5" customHeight="1">
      <c r="D392" s="75"/>
      <c r="E392" s="75"/>
      <c r="F392" s="75"/>
      <c r="G392" s="75"/>
      <c r="L392" s="76"/>
      <c r="N392" s="77"/>
    </row>
    <row r="393" spans="4:14" ht="16.5" customHeight="1">
      <c r="D393" s="75"/>
      <c r="E393" s="75"/>
      <c r="F393" s="75"/>
      <c r="G393" s="75"/>
      <c r="L393" s="76"/>
      <c r="N393" s="77"/>
    </row>
    <row r="394" spans="4:14" ht="16.5" customHeight="1">
      <c r="D394" s="75"/>
      <c r="E394" s="75"/>
      <c r="F394" s="75"/>
      <c r="G394" s="75"/>
      <c r="L394" s="76"/>
      <c r="N394" s="77"/>
    </row>
    <row r="395" spans="4:14" ht="16.5" customHeight="1">
      <c r="D395" s="75"/>
      <c r="E395" s="75"/>
      <c r="F395" s="75"/>
      <c r="G395" s="75"/>
      <c r="L395" s="76"/>
      <c r="N395" s="77"/>
    </row>
    <row r="396" spans="4:14" ht="16.5" customHeight="1">
      <c r="D396" s="75"/>
      <c r="E396" s="75"/>
      <c r="F396" s="75"/>
      <c r="G396" s="75"/>
      <c r="L396" s="76"/>
      <c r="N396" s="77"/>
    </row>
    <row r="397" spans="4:14" ht="16.5" customHeight="1">
      <c r="D397" s="75"/>
      <c r="E397" s="75"/>
      <c r="F397" s="75"/>
      <c r="G397" s="75"/>
      <c r="L397" s="76"/>
      <c r="N397" s="77"/>
    </row>
    <row r="398" spans="4:14" ht="16.5" customHeight="1">
      <c r="D398" s="75"/>
      <c r="E398" s="75"/>
      <c r="F398" s="75"/>
      <c r="G398" s="75"/>
      <c r="L398" s="76"/>
      <c r="N398" s="77"/>
    </row>
    <row r="399" spans="4:14" ht="16.5" customHeight="1">
      <c r="D399" s="75"/>
      <c r="E399" s="75"/>
      <c r="F399" s="75"/>
      <c r="G399" s="75"/>
      <c r="L399" s="76"/>
      <c r="N399" s="77"/>
    </row>
    <row r="400" spans="4:14" ht="16.5" customHeight="1">
      <c r="D400" s="75"/>
      <c r="E400" s="75"/>
      <c r="F400" s="75"/>
      <c r="G400" s="75"/>
      <c r="L400" s="76"/>
      <c r="N400" s="77"/>
    </row>
    <row r="401" spans="4:14" ht="16.5" customHeight="1">
      <c r="D401" s="75"/>
      <c r="E401" s="75"/>
      <c r="F401" s="75"/>
      <c r="G401" s="75"/>
      <c r="L401" s="76"/>
      <c r="N401" s="77"/>
    </row>
    <row r="402" spans="4:14" ht="16.5" customHeight="1">
      <c r="D402" s="75"/>
      <c r="E402" s="75"/>
      <c r="F402" s="75"/>
      <c r="G402" s="75"/>
      <c r="L402" s="76"/>
      <c r="N402" s="77"/>
    </row>
    <row r="403" spans="4:14" ht="16.5" customHeight="1">
      <c r="D403" s="75"/>
      <c r="E403" s="75"/>
      <c r="F403" s="75"/>
      <c r="G403" s="75"/>
      <c r="L403" s="76"/>
      <c r="N403" s="77"/>
    </row>
    <row r="404" spans="4:14" ht="16.5" customHeight="1">
      <c r="D404" s="75"/>
      <c r="E404" s="75"/>
      <c r="F404" s="75"/>
      <c r="G404" s="75"/>
      <c r="L404" s="76"/>
      <c r="N404" s="77"/>
    </row>
    <row r="405" spans="4:14" ht="16.5" customHeight="1">
      <c r="D405" s="75"/>
      <c r="E405" s="75"/>
      <c r="F405" s="75"/>
      <c r="G405" s="75"/>
      <c r="L405" s="76"/>
      <c r="N405" s="77"/>
    </row>
    <row r="406" spans="4:14" ht="16.5" customHeight="1">
      <c r="D406" s="75"/>
      <c r="E406" s="75"/>
      <c r="F406" s="75"/>
      <c r="G406" s="75"/>
      <c r="L406" s="76"/>
      <c r="N406" s="77"/>
    </row>
    <row r="407" spans="4:14" ht="16.5" customHeight="1">
      <c r="D407" s="75"/>
      <c r="E407" s="75"/>
      <c r="F407" s="75"/>
      <c r="G407" s="75"/>
      <c r="L407" s="76"/>
      <c r="N407" s="77"/>
    </row>
    <row r="408" spans="4:14" ht="16.5" customHeight="1">
      <c r="D408" s="75"/>
      <c r="E408" s="75"/>
      <c r="F408" s="75"/>
      <c r="G408" s="75"/>
      <c r="L408" s="76"/>
      <c r="N408" s="77"/>
    </row>
    <row r="409" spans="4:14" ht="16.5" customHeight="1">
      <c r="D409" s="75"/>
      <c r="E409" s="75"/>
      <c r="F409" s="75"/>
      <c r="G409" s="75"/>
      <c r="L409" s="76"/>
      <c r="N409" s="77"/>
    </row>
    <row r="410" spans="4:14" ht="16.5" customHeight="1">
      <c r="D410" s="75"/>
      <c r="E410" s="75"/>
      <c r="F410" s="75"/>
      <c r="G410" s="75"/>
      <c r="L410" s="76"/>
      <c r="N410" s="77"/>
    </row>
    <row r="411" spans="4:14" ht="16.5" customHeight="1">
      <c r="D411" s="75"/>
      <c r="E411" s="75"/>
      <c r="F411" s="75"/>
      <c r="G411" s="75"/>
      <c r="L411" s="76"/>
      <c r="N411" s="77"/>
    </row>
    <row r="412" spans="4:14" ht="16.5" customHeight="1">
      <c r="D412" s="75"/>
      <c r="E412" s="75"/>
      <c r="F412" s="75"/>
      <c r="G412" s="75"/>
      <c r="L412" s="76"/>
      <c r="N412" s="77"/>
    </row>
    <row r="413" spans="4:14" ht="16.5" customHeight="1">
      <c r="D413" s="75"/>
      <c r="E413" s="75"/>
      <c r="F413" s="75"/>
      <c r="G413" s="75"/>
      <c r="L413" s="76"/>
      <c r="N413" s="77"/>
    </row>
    <row r="414" spans="4:14" ht="16.5" customHeight="1">
      <c r="D414" s="75"/>
      <c r="E414" s="75"/>
      <c r="F414" s="75"/>
      <c r="G414" s="75"/>
      <c r="L414" s="76"/>
      <c r="N414" s="77"/>
    </row>
    <row r="415" spans="4:14" ht="16.5" customHeight="1">
      <c r="D415" s="75"/>
      <c r="E415" s="75"/>
      <c r="F415" s="75"/>
      <c r="G415" s="75"/>
      <c r="L415" s="76"/>
      <c r="N415" s="77"/>
    </row>
    <row r="416" spans="4:14" ht="16.5" customHeight="1">
      <c r="D416" s="75"/>
      <c r="E416" s="75"/>
      <c r="F416" s="75"/>
      <c r="G416" s="75"/>
      <c r="L416" s="76"/>
      <c r="N416" s="77"/>
    </row>
    <row r="417" spans="4:14" ht="16.5" customHeight="1">
      <c r="D417" s="75"/>
      <c r="E417" s="75"/>
      <c r="F417" s="75"/>
      <c r="G417" s="75"/>
      <c r="L417" s="76"/>
      <c r="N417" s="77"/>
    </row>
    <row r="418" spans="4:14" ht="16.5" customHeight="1">
      <c r="D418" s="75"/>
      <c r="E418" s="75"/>
      <c r="F418" s="75"/>
      <c r="G418" s="75"/>
      <c r="L418" s="76"/>
      <c r="N418" s="77"/>
    </row>
    <row r="419" spans="4:14" ht="16.5" customHeight="1">
      <c r="D419" s="75"/>
      <c r="E419" s="75"/>
      <c r="F419" s="75"/>
      <c r="G419" s="75"/>
      <c r="L419" s="76"/>
      <c r="N419" s="77"/>
    </row>
    <row r="420" spans="4:14" ht="16.5" customHeight="1">
      <c r="D420" s="75"/>
      <c r="E420" s="75"/>
      <c r="F420" s="75"/>
      <c r="G420" s="75"/>
      <c r="L420" s="76"/>
      <c r="N420" s="77"/>
    </row>
    <row r="421" spans="4:14" ht="16.5" customHeight="1">
      <c r="D421" s="75"/>
      <c r="E421" s="75"/>
      <c r="F421" s="75"/>
      <c r="G421" s="75"/>
      <c r="L421" s="76"/>
      <c r="N421" s="77"/>
    </row>
    <row r="422" spans="4:14" ht="16.5" customHeight="1">
      <c r="D422" s="75"/>
      <c r="E422" s="75"/>
      <c r="F422" s="75"/>
      <c r="G422" s="75"/>
      <c r="L422" s="76"/>
      <c r="N422" s="77"/>
    </row>
    <row r="423" spans="4:14" ht="16.5" customHeight="1">
      <c r="D423" s="75"/>
      <c r="E423" s="75"/>
      <c r="F423" s="75"/>
      <c r="G423" s="75"/>
      <c r="L423" s="76"/>
      <c r="N423" s="77"/>
    </row>
    <row r="424" spans="4:14" ht="16.5" customHeight="1">
      <c r="D424" s="75"/>
      <c r="E424" s="75"/>
      <c r="F424" s="75"/>
      <c r="G424" s="75"/>
      <c r="L424" s="76"/>
      <c r="N424" s="77"/>
    </row>
    <row r="425" spans="4:14" ht="16.5" customHeight="1">
      <c r="D425" s="75"/>
      <c r="E425" s="75"/>
      <c r="F425" s="75"/>
      <c r="G425" s="75"/>
      <c r="L425" s="76"/>
      <c r="N425" s="77"/>
    </row>
    <row r="426" spans="4:14" ht="16.5" customHeight="1">
      <c r="D426" s="75"/>
      <c r="E426" s="75"/>
      <c r="F426" s="75"/>
      <c r="G426" s="75"/>
      <c r="L426" s="76"/>
      <c r="N426" s="77"/>
    </row>
    <row r="427" spans="4:14" ht="16.5" customHeight="1">
      <c r="D427" s="75"/>
      <c r="E427" s="75"/>
      <c r="F427" s="75"/>
      <c r="G427" s="75"/>
      <c r="L427" s="76"/>
      <c r="N427" s="77"/>
    </row>
    <row r="428" spans="4:14" ht="16.5" customHeight="1">
      <c r="D428" s="75"/>
      <c r="E428" s="75"/>
      <c r="F428" s="75"/>
      <c r="G428" s="75"/>
      <c r="L428" s="76"/>
      <c r="N428" s="77"/>
    </row>
    <row r="429" spans="4:14" ht="16.5" customHeight="1">
      <c r="D429" s="75"/>
      <c r="E429" s="75"/>
      <c r="F429" s="75"/>
      <c r="G429" s="75"/>
      <c r="L429" s="76"/>
      <c r="N429" s="77"/>
    </row>
    <row r="430" spans="4:14" ht="16.5" customHeight="1">
      <c r="D430" s="75"/>
      <c r="E430" s="75"/>
      <c r="F430" s="75"/>
      <c r="G430" s="75"/>
      <c r="L430" s="76"/>
      <c r="N430" s="77"/>
    </row>
    <row r="431" spans="4:14" ht="16.5" customHeight="1">
      <c r="D431" s="75"/>
      <c r="E431" s="75"/>
      <c r="F431" s="75"/>
      <c r="G431" s="75"/>
      <c r="L431" s="76"/>
      <c r="N431" s="77"/>
    </row>
    <row r="432" spans="4:14" ht="16.5" customHeight="1">
      <c r="D432" s="75"/>
      <c r="E432" s="75"/>
      <c r="F432" s="75"/>
      <c r="G432" s="75"/>
      <c r="L432" s="76"/>
      <c r="N432" s="77"/>
    </row>
    <row r="433" spans="4:14" ht="16.5" customHeight="1">
      <c r="D433" s="75"/>
      <c r="E433" s="75"/>
      <c r="F433" s="75"/>
      <c r="G433" s="75"/>
      <c r="L433" s="76"/>
      <c r="N433" s="77"/>
    </row>
    <row r="434" spans="4:14" ht="16.5" customHeight="1">
      <c r="D434" s="75"/>
      <c r="E434" s="75"/>
      <c r="F434" s="75"/>
      <c r="G434" s="75"/>
      <c r="L434" s="76"/>
      <c r="N434" s="77"/>
    </row>
    <row r="435" spans="4:14" ht="16.5" customHeight="1">
      <c r="D435" s="75"/>
      <c r="E435" s="75"/>
      <c r="F435" s="75"/>
      <c r="G435" s="75"/>
      <c r="L435" s="76"/>
      <c r="N435" s="77"/>
    </row>
    <row r="436" spans="4:14" ht="16.5" customHeight="1">
      <c r="D436" s="75"/>
      <c r="E436" s="75"/>
      <c r="F436" s="75"/>
      <c r="G436" s="75"/>
      <c r="L436" s="76"/>
      <c r="N436" s="77"/>
    </row>
    <row r="437" spans="4:14" ht="16.5" customHeight="1">
      <c r="D437" s="75"/>
      <c r="E437" s="75"/>
      <c r="F437" s="75"/>
      <c r="G437" s="75"/>
      <c r="L437" s="76"/>
      <c r="N437" s="77"/>
    </row>
    <row r="438" spans="4:14" ht="16.5" customHeight="1">
      <c r="D438" s="75"/>
      <c r="E438" s="75"/>
      <c r="F438" s="75"/>
      <c r="G438" s="75"/>
      <c r="L438" s="76"/>
      <c r="N438" s="77"/>
    </row>
    <row r="439" spans="4:14" ht="16.5" customHeight="1">
      <c r="D439" s="75"/>
      <c r="E439" s="75"/>
      <c r="F439" s="75"/>
      <c r="G439" s="75"/>
      <c r="L439" s="76"/>
      <c r="N439" s="77"/>
    </row>
    <row r="440" spans="4:14" ht="16.5" customHeight="1">
      <c r="D440" s="75"/>
      <c r="E440" s="75"/>
      <c r="F440" s="75"/>
      <c r="G440" s="75"/>
      <c r="L440" s="76"/>
      <c r="N440" s="77"/>
    </row>
    <row r="441" spans="4:14" ht="16.5" customHeight="1">
      <c r="D441" s="75"/>
      <c r="E441" s="75"/>
      <c r="F441" s="75"/>
      <c r="G441" s="75"/>
      <c r="L441" s="76"/>
      <c r="N441" s="77"/>
    </row>
    <row r="442" spans="4:14" ht="16.5" customHeight="1">
      <c r="D442" s="75"/>
      <c r="E442" s="75"/>
      <c r="F442" s="75"/>
      <c r="G442" s="75"/>
      <c r="L442" s="76"/>
      <c r="N442" s="77"/>
    </row>
    <row r="443" spans="4:14" ht="16.5" customHeight="1">
      <c r="D443" s="75"/>
      <c r="E443" s="75"/>
      <c r="F443" s="75"/>
      <c r="G443" s="75"/>
      <c r="L443" s="76"/>
      <c r="N443" s="77"/>
    </row>
    <row r="444" spans="4:14" ht="16.5" customHeight="1">
      <c r="D444" s="75"/>
      <c r="E444" s="75"/>
      <c r="F444" s="75"/>
      <c r="G444" s="75"/>
      <c r="L444" s="76"/>
      <c r="N444" s="77"/>
    </row>
    <row r="445" spans="4:14" ht="16.5" customHeight="1">
      <c r="D445" s="75"/>
      <c r="E445" s="75"/>
      <c r="F445" s="75"/>
      <c r="G445" s="75"/>
      <c r="L445" s="76"/>
      <c r="N445" s="77"/>
    </row>
    <row r="446" spans="4:14" ht="16.5" customHeight="1">
      <c r="D446" s="75"/>
      <c r="E446" s="75"/>
      <c r="F446" s="75"/>
      <c r="G446" s="75"/>
      <c r="L446" s="76"/>
      <c r="N446" s="77"/>
    </row>
    <row r="447" spans="4:14" ht="16.5" customHeight="1">
      <c r="D447" s="75"/>
      <c r="E447" s="75"/>
      <c r="F447" s="75"/>
      <c r="G447" s="75"/>
      <c r="L447" s="76"/>
      <c r="N447" s="77"/>
    </row>
    <row r="448" spans="4:14" ht="16.5" customHeight="1">
      <c r="D448" s="75"/>
      <c r="E448" s="75"/>
      <c r="F448" s="75"/>
      <c r="G448" s="75"/>
      <c r="L448" s="76"/>
      <c r="N448" s="77"/>
    </row>
    <row r="449" spans="4:14" ht="16.5" customHeight="1">
      <c r="D449" s="75"/>
      <c r="E449" s="75"/>
      <c r="F449" s="75"/>
      <c r="G449" s="75"/>
      <c r="L449" s="76"/>
      <c r="N449" s="77"/>
    </row>
    <row r="450" spans="4:14" ht="16.5" customHeight="1">
      <c r="D450" s="75"/>
      <c r="E450" s="75"/>
      <c r="F450" s="75"/>
      <c r="G450" s="75"/>
      <c r="L450" s="76"/>
      <c r="N450" s="77"/>
    </row>
    <row r="451" spans="4:14" ht="16.5" customHeight="1">
      <c r="D451" s="75"/>
      <c r="E451" s="75"/>
      <c r="F451" s="75"/>
      <c r="G451" s="75"/>
      <c r="L451" s="76"/>
      <c r="N451" s="77"/>
    </row>
    <row r="452" spans="4:14" ht="16.5" customHeight="1">
      <c r="D452" s="75"/>
      <c r="E452" s="75"/>
      <c r="F452" s="75"/>
      <c r="G452" s="75"/>
      <c r="L452" s="76"/>
      <c r="N452" s="77"/>
    </row>
    <row r="453" spans="4:14" ht="16.5" customHeight="1">
      <c r="D453" s="75"/>
      <c r="E453" s="75"/>
      <c r="F453" s="75"/>
      <c r="G453" s="75"/>
      <c r="L453" s="76"/>
      <c r="N453" s="77"/>
    </row>
    <row r="454" spans="4:14" ht="16.5" customHeight="1">
      <c r="D454" s="75"/>
      <c r="E454" s="75"/>
      <c r="F454" s="75"/>
      <c r="G454" s="75"/>
      <c r="L454" s="76"/>
      <c r="N454" s="77"/>
    </row>
    <row r="455" spans="4:14" ht="16.5" customHeight="1">
      <c r="D455" s="75"/>
      <c r="E455" s="75"/>
      <c r="F455" s="75"/>
      <c r="G455" s="75"/>
      <c r="L455" s="76"/>
      <c r="N455" s="77"/>
    </row>
    <row r="456" spans="4:14" ht="16.5" customHeight="1">
      <c r="D456" s="75"/>
      <c r="E456" s="75"/>
      <c r="F456" s="75"/>
      <c r="G456" s="75"/>
      <c r="L456" s="76"/>
      <c r="N456" s="77"/>
    </row>
    <row r="457" spans="4:14" ht="16.5" customHeight="1">
      <c r="D457" s="75"/>
      <c r="E457" s="75"/>
      <c r="F457" s="75"/>
      <c r="G457" s="75"/>
      <c r="L457" s="76"/>
      <c r="N457" s="77"/>
    </row>
    <row r="458" spans="4:14" ht="16.5" customHeight="1">
      <c r="D458" s="75"/>
      <c r="E458" s="75"/>
      <c r="F458" s="75"/>
      <c r="G458" s="75"/>
      <c r="L458" s="76"/>
      <c r="N458" s="77"/>
    </row>
    <row r="459" spans="4:14" ht="16.5" customHeight="1">
      <c r="D459" s="75"/>
      <c r="E459" s="75"/>
      <c r="F459" s="75"/>
      <c r="G459" s="75"/>
      <c r="L459" s="76"/>
      <c r="N459" s="77"/>
    </row>
    <row r="460" spans="4:14" ht="16.5" customHeight="1">
      <c r="D460" s="75"/>
      <c r="E460" s="75"/>
      <c r="F460" s="75"/>
      <c r="G460" s="75"/>
      <c r="L460" s="76"/>
      <c r="N460" s="77"/>
    </row>
    <row r="461" spans="4:14" ht="16.5" customHeight="1">
      <c r="D461" s="75"/>
      <c r="E461" s="75"/>
      <c r="F461" s="75"/>
      <c r="G461" s="75"/>
      <c r="L461" s="76"/>
      <c r="N461" s="77"/>
    </row>
    <row r="462" spans="4:14" ht="16.5" customHeight="1">
      <c r="D462" s="75"/>
      <c r="E462" s="75"/>
      <c r="F462" s="75"/>
      <c r="G462" s="75"/>
      <c r="L462" s="76"/>
      <c r="N462" s="77"/>
    </row>
    <row r="463" spans="4:14" ht="16.5" customHeight="1">
      <c r="D463" s="75"/>
      <c r="E463" s="75"/>
      <c r="F463" s="75"/>
      <c r="G463" s="75"/>
      <c r="L463" s="76"/>
      <c r="N463" s="77"/>
    </row>
    <row r="464" spans="4:14" ht="16.5" customHeight="1">
      <c r="D464" s="75"/>
      <c r="E464" s="75"/>
      <c r="F464" s="75"/>
      <c r="G464" s="75"/>
      <c r="L464" s="76"/>
      <c r="N464" s="77"/>
    </row>
    <row r="465" spans="4:14" ht="16.5" customHeight="1">
      <c r="D465" s="75"/>
      <c r="E465" s="75"/>
      <c r="F465" s="75"/>
      <c r="G465" s="75"/>
      <c r="L465" s="76"/>
      <c r="N465" s="77"/>
    </row>
    <row r="466" spans="4:14" ht="16.5" customHeight="1">
      <c r="D466" s="75"/>
      <c r="E466" s="75"/>
      <c r="F466" s="75"/>
      <c r="G466" s="75"/>
      <c r="L466" s="76"/>
      <c r="N466" s="77"/>
    </row>
    <row r="467" spans="4:14" ht="16.5" customHeight="1">
      <c r="D467" s="75"/>
      <c r="E467" s="75"/>
      <c r="F467" s="75"/>
      <c r="G467" s="75"/>
      <c r="L467" s="76"/>
      <c r="N467" s="77"/>
    </row>
    <row r="468" spans="4:14" ht="16.5" customHeight="1">
      <c r="D468" s="75"/>
      <c r="E468" s="75"/>
      <c r="F468" s="75"/>
      <c r="G468" s="75"/>
      <c r="L468" s="76"/>
      <c r="N468" s="77"/>
    </row>
    <row r="469" spans="4:14" ht="16.5" customHeight="1">
      <c r="D469" s="75"/>
      <c r="E469" s="75"/>
      <c r="F469" s="75"/>
      <c r="G469" s="75"/>
      <c r="L469" s="76"/>
      <c r="N469" s="77"/>
    </row>
    <row r="470" spans="4:14" ht="16.5" customHeight="1">
      <c r="D470" s="75"/>
      <c r="E470" s="75"/>
      <c r="F470" s="75"/>
      <c r="G470" s="75"/>
      <c r="L470" s="76"/>
      <c r="N470" s="77"/>
    </row>
    <row r="471" spans="4:14" ht="16.5" customHeight="1">
      <c r="D471" s="75"/>
      <c r="E471" s="75"/>
      <c r="F471" s="75"/>
      <c r="G471" s="75"/>
      <c r="L471" s="76"/>
      <c r="N471" s="77"/>
    </row>
    <row r="472" spans="4:14" ht="16.5" customHeight="1">
      <c r="D472" s="75"/>
      <c r="E472" s="75"/>
      <c r="F472" s="75"/>
      <c r="G472" s="75"/>
      <c r="L472" s="76"/>
      <c r="N472" s="77"/>
    </row>
    <row r="473" spans="4:14" ht="16.5" customHeight="1">
      <c r="D473" s="75"/>
      <c r="E473" s="75"/>
      <c r="F473" s="75"/>
      <c r="G473" s="75"/>
      <c r="L473" s="76"/>
      <c r="N473" s="77"/>
    </row>
    <row r="474" spans="4:14" ht="16.5" customHeight="1">
      <c r="D474" s="75"/>
      <c r="E474" s="75"/>
      <c r="F474" s="75"/>
      <c r="G474" s="75"/>
      <c r="L474" s="76"/>
      <c r="N474" s="77"/>
    </row>
    <row r="475" spans="4:14" ht="16.5" customHeight="1">
      <c r="D475" s="75"/>
      <c r="E475" s="75"/>
      <c r="F475" s="75"/>
      <c r="G475" s="75"/>
      <c r="L475" s="76"/>
      <c r="N475" s="77"/>
    </row>
    <row r="476" spans="4:14" ht="16.5" customHeight="1">
      <c r="D476" s="75"/>
      <c r="E476" s="75"/>
      <c r="F476" s="75"/>
      <c r="G476" s="75"/>
      <c r="L476" s="76"/>
      <c r="N476" s="77"/>
    </row>
    <row r="477" spans="4:14" ht="16.5" customHeight="1">
      <c r="D477" s="75"/>
      <c r="E477" s="75"/>
      <c r="F477" s="75"/>
      <c r="G477" s="75"/>
      <c r="L477" s="76"/>
      <c r="N477" s="77"/>
    </row>
    <row r="478" spans="4:14" ht="16.5" customHeight="1">
      <c r="D478" s="75"/>
      <c r="E478" s="75"/>
      <c r="F478" s="75"/>
      <c r="G478" s="75"/>
      <c r="L478" s="76"/>
      <c r="N478" s="77"/>
    </row>
    <row r="479" spans="4:14" ht="16.5" customHeight="1">
      <c r="D479" s="75"/>
      <c r="E479" s="75"/>
      <c r="F479" s="75"/>
      <c r="G479" s="75"/>
      <c r="L479" s="76"/>
      <c r="N479" s="77"/>
    </row>
    <row r="480" spans="4:14" ht="16.5" customHeight="1">
      <c r="D480" s="75"/>
      <c r="E480" s="75"/>
      <c r="F480" s="75"/>
      <c r="G480" s="75"/>
      <c r="L480" s="76"/>
      <c r="N480" s="77"/>
    </row>
    <row r="481" spans="4:14" ht="16.5" customHeight="1">
      <c r="D481" s="75"/>
      <c r="E481" s="75"/>
      <c r="F481" s="75"/>
      <c r="G481" s="75"/>
      <c r="L481" s="76"/>
      <c r="N481" s="77"/>
    </row>
    <row r="482" spans="4:14" ht="16.5" customHeight="1">
      <c r="D482" s="75"/>
      <c r="E482" s="75"/>
      <c r="F482" s="75"/>
      <c r="G482" s="75"/>
      <c r="L482" s="76"/>
      <c r="N482" s="77"/>
    </row>
    <row r="483" spans="4:14" ht="16.5" customHeight="1">
      <c r="D483" s="75"/>
      <c r="E483" s="75"/>
      <c r="F483" s="75"/>
      <c r="G483" s="75"/>
      <c r="L483" s="76"/>
      <c r="N483" s="77"/>
    </row>
    <row r="484" spans="4:14" ht="16.5" customHeight="1">
      <c r="D484" s="75"/>
      <c r="E484" s="75"/>
      <c r="F484" s="75"/>
      <c r="G484" s="75"/>
      <c r="L484" s="76"/>
      <c r="N484" s="77"/>
    </row>
    <row r="485" spans="4:14" ht="16.5" customHeight="1">
      <c r="D485" s="75"/>
      <c r="E485" s="75"/>
      <c r="F485" s="75"/>
      <c r="G485" s="75"/>
      <c r="L485" s="76"/>
      <c r="N485" s="77"/>
    </row>
    <row r="486" spans="4:14" ht="16.5" customHeight="1">
      <c r="D486" s="75"/>
      <c r="E486" s="75"/>
      <c r="F486" s="75"/>
      <c r="G486" s="75"/>
      <c r="L486" s="76"/>
      <c r="N486" s="77"/>
    </row>
    <row r="487" spans="4:14" ht="16.5" customHeight="1">
      <c r="D487" s="75"/>
      <c r="E487" s="75"/>
      <c r="F487" s="75"/>
      <c r="G487" s="75"/>
      <c r="L487" s="76"/>
      <c r="N487" s="77"/>
    </row>
    <row r="488" spans="4:14" ht="16.5" customHeight="1">
      <c r="D488" s="75"/>
      <c r="E488" s="75"/>
      <c r="F488" s="75"/>
      <c r="G488" s="75"/>
      <c r="L488" s="76"/>
      <c r="N488" s="77"/>
    </row>
    <row r="489" spans="4:14" ht="16.5" customHeight="1">
      <c r="D489" s="75"/>
      <c r="E489" s="75"/>
      <c r="F489" s="75"/>
      <c r="G489" s="75"/>
      <c r="L489" s="76"/>
      <c r="N489" s="77"/>
    </row>
    <row r="490" spans="4:14" ht="16.5" customHeight="1">
      <c r="D490" s="75"/>
      <c r="E490" s="75"/>
      <c r="F490" s="75"/>
      <c r="G490" s="75"/>
      <c r="L490" s="76"/>
      <c r="N490" s="77"/>
    </row>
    <row r="491" spans="4:14" ht="16.5" customHeight="1">
      <c r="D491" s="75"/>
      <c r="E491" s="75"/>
      <c r="F491" s="75"/>
      <c r="G491" s="75"/>
      <c r="L491" s="76"/>
      <c r="N491" s="77"/>
    </row>
    <row r="492" spans="4:14" ht="16.5" customHeight="1">
      <c r="D492" s="75"/>
      <c r="E492" s="75"/>
      <c r="F492" s="75"/>
      <c r="G492" s="75"/>
      <c r="L492" s="76"/>
      <c r="N492" s="77"/>
    </row>
    <row r="493" spans="4:14" ht="16.5" customHeight="1">
      <c r="D493" s="75"/>
      <c r="E493" s="75"/>
      <c r="F493" s="75"/>
      <c r="G493" s="75"/>
      <c r="L493" s="76"/>
      <c r="N493" s="77"/>
    </row>
    <row r="494" spans="4:14" ht="16.5" customHeight="1">
      <c r="D494" s="75"/>
      <c r="E494" s="75"/>
      <c r="F494" s="75"/>
      <c r="G494" s="75"/>
      <c r="L494" s="76"/>
      <c r="N494" s="77"/>
    </row>
    <row r="495" spans="4:14" ht="16.5" customHeight="1">
      <c r="D495" s="75"/>
      <c r="E495" s="75"/>
      <c r="F495" s="75"/>
      <c r="G495" s="75"/>
      <c r="L495" s="76"/>
      <c r="N495" s="77"/>
    </row>
    <row r="496" spans="4:14" ht="16.5" customHeight="1">
      <c r="D496" s="75"/>
      <c r="E496" s="75"/>
      <c r="F496" s="75"/>
      <c r="G496" s="75"/>
      <c r="L496" s="76"/>
      <c r="N496" s="77"/>
    </row>
    <row r="497" spans="4:14" ht="16.5" customHeight="1">
      <c r="D497" s="75"/>
      <c r="E497" s="75"/>
      <c r="F497" s="75"/>
      <c r="G497" s="75"/>
      <c r="L497" s="76"/>
      <c r="N497" s="77"/>
    </row>
    <row r="498" spans="4:14" ht="16.5" customHeight="1">
      <c r="D498" s="75"/>
      <c r="E498" s="75"/>
      <c r="F498" s="75"/>
      <c r="G498" s="75"/>
      <c r="L498" s="76"/>
      <c r="N498" s="77"/>
    </row>
    <row r="499" spans="4:14" ht="16.5" customHeight="1">
      <c r="D499" s="75"/>
      <c r="E499" s="75"/>
      <c r="F499" s="75"/>
      <c r="G499" s="75"/>
      <c r="L499" s="76"/>
      <c r="N499" s="77"/>
    </row>
    <row r="500" spans="4:14" ht="16.5" customHeight="1">
      <c r="D500" s="75"/>
      <c r="E500" s="75"/>
      <c r="F500" s="75"/>
      <c r="G500" s="75"/>
      <c r="L500" s="76"/>
      <c r="N500" s="77"/>
    </row>
    <row r="501" spans="4:14" ht="16.5" customHeight="1">
      <c r="D501" s="75"/>
      <c r="E501" s="75"/>
      <c r="F501" s="75"/>
      <c r="G501" s="75"/>
      <c r="L501" s="76"/>
      <c r="N501" s="77"/>
    </row>
    <row r="502" spans="4:14" ht="16.5" customHeight="1">
      <c r="D502" s="75"/>
      <c r="E502" s="75"/>
      <c r="F502" s="75"/>
      <c r="G502" s="75"/>
      <c r="L502" s="76"/>
      <c r="N502" s="77"/>
    </row>
    <row r="503" spans="4:14" ht="16.5" customHeight="1">
      <c r="D503" s="75"/>
      <c r="E503" s="75"/>
      <c r="F503" s="75"/>
      <c r="G503" s="75"/>
      <c r="L503" s="76"/>
      <c r="N503" s="77"/>
    </row>
    <row r="504" spans="4:14" ht="16.5" customHeight="1">
      <c r="D504" s="75"/>
      <c r="E504" s="75"/>
      <c r="F504" s="75"/>
      <c r="G504" s="75"/>
      <c r="L504" s="76"/>
      <c r="N504" s="77"/>
    </row>
    <row r="505" spans="4:14" ht="16.5" customHeight="1">
      <c r="D505" s="75"/>
      <c r="E505" s="75"/>
      <c r="F505" s="75"/>
      <c r="G505" s="75"/>
      <c r="L505" s="76"/>
      <c r="N505" s="77"/>
    </row>
    <row r="506" spans="4:14" ht="16.5" customHeight="1">
      <c r="D506" s="75"/>
      <c r="E506" s="75"/>
      <c r="F506" s="75"/>
      <c r="G506" s="75"/>
      <c r="L506" s="76"/>
      <c r="N506" s="77"/>
    </row>
    <row r="507" spans="4:14" ht="16.5" customHeight="1">
      <c r="D507" s="75"/>
      <c r="E507" s="75"/>
      <c r="F507" s="75"/>
      <c r="G507" s="75"/>
      <c r="L507" s="76"/>
      <c r="N507" s="77"/>
    </row>
    <row r="508" spans="4:14" ht="16.5" customHeight="1">
      <c r="D508" s="75"/>
      <c r="E508" s="75"/>
      <c r="F508" s="75"/>
      <c r="G508" s="75"/>
      <c r="L508" s="76"/>
      <c r="N508" s="77"/>
    </row>
    <row r="509" spans="4:14" ht="16.5" customHeight="1">
      <c r="D509" s="75"/>
      <c r="E509" s="75"/>
      <c r="F509" s="75"/>
      <c r="G509" s="75"/>
      <c r="L509" s="76"/>
      <c r="N509" s="77"/>
    </row>
    <row r="510" spans="4:14" ht="16.5" customHeight="1">
      <c r="D510" s="75"/>
      <c r="E510" s="75"/>
      <c r="F510" s="75"/>
      <c r="G510" s="75"/>
      <c r="L510" s="76"/>
      <c r="N510" s="77"/>
    </row>
    <row r="511" spans="4:14" ht="16.5" customHeight="1">
      <c r="D511" s="75"/>
      <c r="E511" s="75"/>
      <c r="F511" s="75"/>
      <c r="G511" s="75"/>
      <c r="L511" s="76"/>
      <c r="N511" s="77"/>
    </row>
    <row r="512" spans="4:14" ht="16.5" customHeight="1">
      <c r="D512" s="75"/>
      <c r="E512" s="75"/>
      <c r="F512" s="75"/>
      <c r="G512" s="75"/>
      <c r="L512" s="76"/>
      <c r="N512" s="77"/>
    </row>
    <row r="513" spans="4:14" ht="16.5" customHeight="1">
      <c r="D513" s="75"/>
      <c r="E513" s="75"/>
      <c r="F513" s="75"/>
      <c r="G513" s="75"/>
      <c r="L513" s="76"/>
      <c r="N513" s="77"/>
    </row>
    <row r="514" spans="4:14" ht="16.5" customHeight="1">
      <c r="D514" s="75"/>
      <c r="E514" s="75"/>
      <c r="F514" s="75"/>
      <c r="G514" s="75"/>
      <c r="L514" s="76"/>
      <c r="N514" s="77"/>
    </row>
    <row r="515" spans="4:14" ht="16.5" customHeight="1">
      <c r="D515" s="75"/>
      <c r="E515" s="75"/>
      <c r="F515" s="75"/>
      <c r="G515" s="75"/>
      <c r="L515" s="76"/>
      <c r="N515" s="77"/>
    </row>
    <row r="516" spans="4:14" ht="16.5" customHeight="1">
      <c r="D516" s="75"/>
      <c r="E516" s="75"/>
      <c r="F516" s="75"/>
      <c r="G516" s="75"/>
      <c r="L516" s="76"/>
      <c r="N516" s="77"/>
    </row>
    <row r="517" spans="4:14" ht="16.5" customHeight="1">
      <c r="D517" s="75"/>
      <c r="E517" s="75"/>
      <c r="F517" s="75"/>
      <c r="G517" s="75"/>
      <c r="L517" s="76"/>
      <c r="N517" s="77"/>
    </row>
    <row r="518" spans="4:14" ht="16.5" customHeight="1">
      <c r="D518" s="75"/>
      <c r="E518" s="75"/>
      <c r="F518" s="75"/>
      <c r="G518" s="75"/>
      <c r="L518" s="76"/>
      <c r="N518" s="77"/>
    </row>
    <row r="519" spans="4:14" ht="16.5" customHeight="1">
      <c r="D519" s="75"/>
      <c r="E519" s="75"/>
      <c r="F519" s="75"/>
      <c r="G519" s="75"/>
      <c r="L519" s="76"/>
      <c r="N519" s="77"/>
    </row>
    <row r="520" spans="4:14" ht="16.5" customHeight="1">
      <c r="D520" s="75"/>
      <c r="E520" s="75"/>
      <c r="F520" s="75"/>
      <c r="G520" s="75"/>
      <c r="L520" s="76"/>
      <c r="N520" s="77"/>
    </row>
    <row r="521" spans="4:14" ht="16.5" customHeight="1">
      <c r="D521" s="75"/>
      <c r="E521" s="75"/>
      <c r="F521" s="75"/>
      <c r="G521" s="75"/>
      <c r="L521" s="76"/>
      <c r="N521" s="77"/>
    </row>
    <row r="522" spans="4:14" ht="16.5" customHeight="1">
      <c r="D522" s="75"/>
      <c r="E522" s="75"/>
      <c r="F522" s="75"/>
      <c r="G522" s="75"/>
      <c r="L522" s="76"/>
      <c r="N522" s="77"/>
    </row>
    <row r="523" spans="4:14" ht="16.5" customHeight="1">
      <c r="D523" s="75"/>
      <c r="E523" s="75"/>
      <c r="F523" s="75"/>
      <c r="G523" s="75"/>
      <c r="L523" s="76"/>
      <c r="N523" s="77"/>
    </row>
    <row r="524" spans="4:14" ht="16.5" customHeight="1">
      <c r="D524" s="75"/>
      <c r="E524" s="75"/>
      <c r="F524" s="75"/>
      <c r="G524" s="75"/>
      <c r="L524" s="76"/>
      <c r="N524" s="77"/>
    </row>
    <row r="525" spans="4:14" ht="16.5" customHeight="1">
      <c r="D525" s="75"/>
      <c r="E525" s="75"/>
      <c r="F525" s="75"/>
      <c r="G525" s="75"/>
      <c r="L525" s="76"/>
      <c r="N525" s="77"/>
    </row>
    <row r="526" spans="4:14" ht="16.5" customHeight="1">
      <c r="D526" s="75"/>
      <c r="E526" s="75"/>
      <c r="F526" s="75"/>
      <c r="G526" s="75"/>
      <c r="L526" s="76"/>
      <c r="N526" s="77"/>
    </row>
    <row r="527" spans="4:14" ht="16.5" customHeight="1">
      <c r="D527" s="75"/>
      <c r="E527" s="75"/>
      <c r="F527" s="75"/>
      <c r="G527" s="75"/>
      <c r="L527" s="76"/>
      <c r="N527" s="77"/>
    </row>
    <row r="528" spans="4:14" ht="16.5" customHeight="1">
      <c r="D528" s="75"/>
      <c r="E528" s="75"/>
      <c r="F528" s="75"/>
      <c r="G528" s="75"/>
      <c r="L528" s="76"/>
      <c r="N528" s="77"/>
    </row>
    <row r="529" spans="4:14" ht="16.5" customHeight="1">
      <c r="D529" s="75"/>
      <c r="E529" s="75"/>
      <c r="F529" s="75"/>
      <c r="G529" s="75"/>
      <c r="L529" s="76"/>
      <c r="N529" s="77"/>
    </row>
    <row r="530" spans="4:14" ht="16.5" customHeight="1">
      <c r="D530" s="75"/>
      <c r="E530" s="75"/>
      <c r="F530" s="75"/>
      <c r="G530" s="75"/>
      <c r="L530" s="76"/>
      <c r="N530" s="77"/>
    </row>
    <row r="531" spans="4:14" ht="16.5" customHeight="1">
      <c r="D531" s="75"/>
      <c r="E531" s="75"/>
      <c r="F531" s="75"/>
      <c r="G531" s="75"/>
      <c r="L531" s="76"/>
      <c r="N531" s="77"/>
    </row>
    <row r="532" spans="4:14" ht="16.5" customHeight="1">
      <c r="D532" s="75"/>
      <c r="E532" s="75"/>
      <c r="F532" s="75"/>
      <c r="G532" s="75"/>
      <c r="L532" s="76"/>
      <c r="N532" s="77"/>
    </row>
    <row r="533" spans="4:14" ht="16.5" customHeight="1">
      <c r="D533" s="75"/>
      <c r="E533" s="75"/>
      <c r="F533" s="75"/>
      <c r="G533" s="75"/>
      <c r="L533" s="76"/>
      <c r="N533" s="77"/>
    </row>
    <row r="534" spans="4:14" ht="16.5" customHeight="1">
      <c r="D534" s="75"/>
      <c r="E534" s="75"/>
      <c r="F534" s="75"/>
      <c r="G534" s="75"/>
      <c r="L534" s="76"/>
      <c r="N534" s="77"/>
    </row>
    <row r="535" spans="4:14" ht="16.5" customHeight="1">
      <c r="D535" s="75"/>
      <c r="E535" s="75"/>
      <c r="F535" s="75"/>
      <c r="G535" s="75"/>
      <c r="L535" s="76"/>
      <c r="N535" s="77"/>
    </row>
    <row r="536" spans="4:14" ht="16.5" customHeight="1">
      <c r="D536" s="75"/>
      <c r="E536" s="75"/>
      <c r="F536" s="75"/>
      <c r="G536" s="75"/>
      <c r="L536" s="76"/>
      <c r="N536" s="77"/>
    </row>
    <row r="537" spans="4:14" ht="16.5" customHeight="1">
      <c r="D537" s="75"/>
      <c r="E537" s="75"/>
      <c r="F537" s="75"/>
      <c r="G537" s="75"/>
      <c r="L537" s="76"/>
      <c r="N537" s="77"/>
    </row>
    <row r="538" spans="4:14" ht="16.5" customHeight="1">
      <c r="D538" s="75"/>
      <c r="E538" s="75"/>
      <c r="F538" s="75"/>
      <c r="G538" s="75"/>
      <c r="L538" s="76"/>
      <c r="N538" s="77"/>
    </row>
    <row r="539" spans="4:14" ht="16.5" customHeight="1">
      <c r="D539" s="75"/>
      <c r="E539" s="75"/>
      <c r="F539" s="75"/>
      <c r="G539" s="75"/>
      <c r="L539" s="76"/>
      <c r="N539" s="77"/>
    </row>
    <row r="540" spans="4:14" ht="16.5" customHeight="1">
      <c r="D540" s="75"/>
      <c r="E540" s="75"/>
      <c r="F540" s="75"/>
      <c r="G540" s="75"/>
      <c r="L540" s="76"/>
      <c r="N540" s="77"/>
    </row>
    <row r="541" spans="4:14" ht="16.5" customHeight="1">
      <c r="D541" s="75"/>
      <c r="E541" s="75"/>
      <c r="F541" s="75"/>
      <c r="G541" s="75"/>
      <c r="L541" s="76"/>
      <c r="N541" s="77"/>
    </row>
    <row r="542" spans="4:14" ht="16.5" customHeight="1">
      <c r="D542" s="75"/>
      <c r="E542" s="75"/>
      <c r="F542" s="75"/>
      <c r="G542" s="75"/>
      <c r="L542" s="76"/>
      <c r="N542" s="77"/>
    </row>
    <row r="543" spans="4:14" ht="16.5" customHeight="1">
      <c r="D543" s="75"/>
      <c r="E543" s="75"/>
      <c r="F543" s="75"/>
      <c r="G543" s="75"/>
      <c r="L543" s="76"/>
      <c r="N543" s="77"/>
    </row>
    <row r="544" spans="4:14" ht="16.5" customHeight="1">
      <c r="D544" s="75"/>
      <c r="E544" s="75"/>
      <c r="F544" s="75"/>
      <c r="G544" s="75"/>
      <c r="L544" s="76"/>
      <c r="N544" s="77"/>
    </row>
    <row r="545" spans="4:14" ht="16.5" customHeight="1">
      <c r="D545" s="75"/>
      <c r="E545" s="75"/>
      <c r="F545" s="75"/>
      <c r="G545" s="75"/>
      <c r="L545" s="76"/>
      <c r="N545" s="77"/>
    </row>
    <row r="546" spans="4:14" ht="16.5" customHeight="1">
      <c r="D546" s="75"/>
      <c r="E546" s="75"/>
      <c r="F546" s="75"/>
      <c r="G546" s="75"/>
      <c r="L546" s="76"/>
      <c r="N546" s="77"/>
    </row>
    <row r="547" spans="4:14" ht="16.5" customHeight="1">
      <c r="D547" s="75"/>
      <c r="E547" s="75"/>
      <c r="F547" s="75"/>
      <c r="G547" s="75"/>
      <c r="L547" s="76"/>
      <c r="N547" s="77"/>
    </row>
    <row r="548" spans="4:14" ht="16.5" customHeight="1">
      <c r="D548" s="75"/>
      <c r="E548" s="75"/>
      <c r="F548" s="75"/>
      <c r="G548" s="75"/>
      <c r="L548" s="76"/>
      <c r="N548" s="77"/>
    </row>
    <row r="549" spans="4:14" ht="16.5" customHeight="1">
      <c r="D549" s="75"/>
      <c r="E549" s="75"/>
      <c r="F549" s="75"/>
      <c r="G549" s="75"/>
      <c r="L549" s="76"/>
      <c r="N549" s="77"/>
    </row>
    <row r="550" spans="4:14" ht="16.5" customHeight="1">
      <c r="D550" s="75"/>
      <c r="E550" s="75"/>
      <c r="F550" s="75"/>
      <c r="G550" s="75"/>
      <c r="L550" s="76"/>
      <c r="N550" s="77"/>
    </row>
    <row r="551" spans="4:14" ht="16.5" customHeight="1">
      <c r="D551" s="75"/>
      <c r="E551" s="75"/>
      <c r="F551" s="75"/>
      <c r="G551" s="75"/>
      <c r="L551" s="76"/>
      <c r="N551" s="77"/>
    </row>
    <row r="552" spans="4:14" ht="16.5" customHeight="1">
      <c r="D552" s="75"/>
      <c r="E552" s="75"/>
      <c r="F552" s="75"/>
      <c r="G552" s="75"/>
      <c r="L552" s="76"/>
      <c r="N552" s="77"/>
    </row>
    <row r="553" spans="4:14" ht="16.5" customHeight="1">
      <c r="D553" s="75"/>
      <c r="E553" s="75"/>
      <c r="F553" s="75"/>
      <c r="G553" s="75"/>
      <c r="L553" s="76"/>
      <c r="N553" s="77"/>
    </row>
    <row r="554" spans="4:14" ht="16.5" customHeight="1">
      <c r="D554" s="75"/>
      <c r="E554" s="75"/>
      <c r="F554" s="75"/>
      <c r="G554" s="75"/>
      <c r="L554" s="76"/>
      <c r="N554" s="77"/>
    </row>
    <row r="555" spans="4:14" ht="16.5" customHeight="1">
      <c r="D555" s="75"/>
      <c r="E555" s="75"/>
      <c r="F555" s="75"/>
      <c r="G555" s="75"/>
      <c r="L555" s="76"/>
      <c r="N555" s="77"/>
    </row>
    <row r="556" spans="4:14" ht="16.5" customHeight="1">
      <c r="D556" s="75"/>
      <c r="E556" s="75"/>
      <c r="F556" s="75"/>
      <c r="G556" s="75"/>
      <c r="L556" s="76"/>
      <c r="N556" s="77"/>
    </row>
    <row r="557" spans="4:14" ht="16.5" customHeight="1">
      <c r="D557" s="75"/>
      <c r="E557" s="75"/>
      <c r="F557" s="75"/>
      <c r="G557" s="75"/>
      <c r="L557" s="76"/>
      <c r="N557" s="77"/>
    </row>
    <row r="558" spans="4:14" ht="16.5" customHeight="1">
      <c r="D558" s="75"/>
      <c r="E558" s="75"/>
      <c r="F558" s="75"/>
      <c r="G558" s="75"/>
      <c r="L558" s="76"/>
      <c r="N558" s="77"/>
    </row>
    <row r="559" spans="4:14" ht="16.5" customHeight="1">
      <c r="D559" s="75"/>
      <c r="E559" s="75"/>
      <c r="F559" s="75"/>
      <c r="G559" s="75"/>
      <c r="L559" s="76"/>
      <c r="N559" s="77"/>
    </row>
    <row r="560" spans="4:14" ht="16.5" customHeight="1">
      <c r="D560" s="75"/>
      <c r="E560" s="75"/>
      <c r="F560" s="75"/>
      <c r="G560" s="75"/>
      <c r="L560" s="76"/>
      <c r="N560" s="77"/>
    </row>
    <row r="561" spans="4:14" ht="16.5" customHeight="1">
      <c r="D561" s="75"/>
      <c r="E561" s="75"/>
      <c r="F561" s="75"/>
      <c r="G561" s="75"/>
      <c r="L561" s="76"/>
      <c r="N561" s="77"/>
    </row>
    <row r="562" spans="4:14" ht="16.5" customHeight="1">
      <c r="D562" s="75"/>
      <c r="E562" s="75"/>
      <c r="F562" s="75"/>
      <c r="G562" s="75"/>
      <c r="L562" s="76"/>
      <c r="N562" s="77"/>
    </row>
    <row r="563" spans="4:14" ht="16.5" customHeight="1">
      <c r="D563" s="75"/>
      <c r="E563" s="75"/>
      <c r="F563" s="75"/>
      <c r="G563" s="75"/>
      <c r="L563" s="76"/>
      <c r="N563" s="77"/>
    </row>
    <row r="564" spans="4:14" ht="16.5" customHeight="1">
      <c r="D564" s="75"/>
      <c r="E564" s="75"/>
      <c r="F564" s="75"/>
      <c r="G564" s="75"/>
      <c r="L564" s="76"/>
      <c r="N564" s="77"/>
    </row>
    <row r="565" spans="4:14" ht="16.5" customHeight="1">
      <c r="D565" s="75"/>
      <c r="E565" s="75"/>
      <c r="F565" s="75"/>
      <c r="G565" s="75"/>
      <c r="L565" s="76"/>
      <c r="N565" s="77"/>
    </row>
    <row r="566" spans="4:14" ht="16.5" customHeight="1">
      <c r="D566" s="75"/>
      <c r="E566" s="75"/>
      <c r="F566" s="75"/>
      <c r="G566" s="75"/>
      <c r="L566" s="76"/>
      <c r="N566" s="77"/>
    </row>
    <row r="567" spans="4:14" ht="16.5" customHeight="1">
      <c r="D567" s="75"/>
      <c r="E567" s="75"/>
      <c r="F567" s="75"/>
      <c r="G567" s="75"/>
      <c r="L567" s="76"/>
      <c r="N567" s="77"/>
    </row>
    <row r="568" spans="4:14" ht="16.5" customHeight="1">
      <c r="D568" s="75"/>
      <c r="E568" s="75"/>
      <c r="F568" s="75"/>
      <c r="G568" s="75"/>
      <c r="L568" s="76"/>
      <c r="N568" s="77"/>
    </row>
    <row r="569" spans="4:14" ht="16.5" customHeight="1">
      <c r="D569" s="75"/>
      <c r="E569" s="75"/>
      <c r="F569" s="75"/>
      <c r="G569" s="75"/>
      <c r="L569" s="76"/>
      <c r="N569" s="77"/>
    </row>
    <row r="570" spans="4:14" ht="16.5" customHeight="1">
      <c r="D570" s="75"/>
      <c r="E570" s="75"/>
      <c r="F570" s="75"/>
      <c r="G570" s="75"/>
      <c r="L570" s="76"/>
      <c r="N570" s="77"/>
    </row>
    <row r="571" spans="4:14" ht="16.5" customHeight="1">
      <c r="D571" s="75"/>
      <c r="E571" s="75"/>
      <c r="F571" s="75"/>
      <c r="G571" s="75"/>
      <c r="L571" s="76"/>
      <c r="N571" s="77"/>
    </row>
    <row r="572" spans="4:14" ht="16.5" customHeight="1">
      <c r="D572" s="75"/>
      <c r="E572" s="75"/>
      <c r="F572" s="75"/>
      <c r="G572" s="75"/>
      <c r="L572" s="76"/>
      <c r="N572" s="77"/>
    </row>
    <row r="573" spans="4:14" ht="16.5" customHeight="1">
      <c r="D573" s="75"/>
      <c r="E573" s="75"/>
      <c r="F573" s="75"/>
      <c r="G573" s="75"/>
      <c r="L573" s="76"/>
      <c r="N573" s="77"/>
    </row>
    <row r="574" spans="4:14" ht="16.5" customHeight="1">
      <c r="D574" s="75"/>
      <c r="E574" s="75"/>
      <c r="F574" s="75"/>
      <c r="G574" s="75"/>
      <c r="L574" s="76"/>
      <c r="N574" s="77"/>
    </row>
    <row r="575" spans="4:14" ht="16.5" customHeight="1">
      <c r="D575" s="75"/>
      <c r="E575" s="75"/>
      <c r="F575" s="75"/>
      <c r="G575" s="75"/>
      <c r="L575" s="76"/>
      <c r="N575" s="77"/>
    </row>
    <row r="576" spans="4:14" ht="16.5" customHeight="1">
      <c r="D576" s="75"/>
      <c r="E576" s="75"/>
      <c r="F576" s="75"/>
      <c r="G576" s="75"/>
      <c r="L576" s="76"/>
      <c r="N576" s="77"/>
    </row>
    <row r="577" spans="4:14" ht="16.5" customHeight="1">
      <c r="D577" s="75"/>
      <c r="E577" s="75"/>
      <c r="F577" s="75"/>
      <c r="G577" s="75"/>
      <c r="L577" s="76"/>
      <c r="N577" s="77"/>
    </row>
    <row r="578" spans="4:14" ht="16.5" customHeight="1">
      <c r="D578" s="75"/>
      <c r="E578" s="75"/>
      <c r="F578" s="75"/>
      <c r="G578" s="75"/>
      <c r="L578" s="76"/>
      <c r="N578" s="77"/>
    </row>
    <row r="579" spans="4:14" ht="16.5" customHeight="1">
      <c r="D579" s="75"/>
      <c r="E579" s="75"/>
      <c r="F579" s="75"/>
      <c r="G579" s="75"/>
      <c r="L579" s="76"/>
      <c r="N579" s="77"/>
    </row>
    <row r="580" spans="4:14" ht="16.5" customHeight="1">
      <c r="D580" s="75"/>
      <c r="E580" s="75"/>
      <c r="F580" s="75"/>
      <c r="G580" s="75"/>
      <c r="L580" s="76"/>
      <c r="N580" s="77"/>
    </row>
    <row r="581" spans="4:14" ht="16.5" customHeight="1">
      <c r="D581" s="75"/>
      <c r="E581" s="75"/>
      <c r="F581" s="75"/>
      <c r="G581" s="75"/>
      <c r="L581" s="76"/>
      <c r="N581" s="77"/>
    </row>
    <row r="582" spans="4:14" ht="16.5" customHeight="1">
      <c r="D582" s="75"/>
      <c r="E582" s="75"/>
      <c r="F582" s="75"/>
      <c r="G582" s="75"/>
      <c r="L582" s="76"/>
      <c r="N582" s="77"/>
    </row>
    <row r="583" spans="4:14" ht="16.5" customHeight="1">
      <c r="D583" s="75"/>
      <c r="E583" s="75"/>
      <c r="F583" s="75"/>
      <c r="G583" s="75"/>
      <c r="L583" s="76"/>
      <c r="N583" s="77"/>
    </row>
    <row r="584" spans="4:14" ht="16.5" customHeight="1">
      <c r="D584" s="75"/>
      <c r="E584" s="75"/>
      <c r="F584" s="75"/>
      <c r="G584" s="75"/>
      <c r="L584" s="76"/>
      <c r="N584" s="77"/>
    </row>
    <row r="585" spans="4:14" ht="16.5" customHeight="1">
      <c r="D585" s="75"/>
      <c r="E585" s="75"/>
      <c r="F585" s="75"/>
      <c r="G585" s="75"/>
      <c r="L585" s="76"/>
      <c r="N585" s="77"/>
    </row>
    <row r="586" spans="4:14" ht="16.5" customHeight="1">
      <c r="D586" s="75"/>
      <c r="E586" s="75"/>
      <c r="F586" s="75"/>
      <c r="G586" s="75"/>
      <c r="L586" s="76"/>
      <c r="N586" s="77"/>
    </row>
    <row r="587" spans="4:14" ht="16.5" customHeight="1">
      <c r="D587" s="75"/>
      <c r="E587" s="75"/>
      <c r="F587" s="75"/>
      <c r="G587" s="75"/>
      <c r="L587" s="76"/>
      <c r="N587" s="77"/>
    </row>
    <row r="588" spans="4:14" ht="16.5" customHeight="1">
      <c r="D588" s="75"/>
      <c r="E588" s="75"/>
      <c r="F588" s="75"/>
      <c r="G588" s="75"/>
      <c r="L588" s="76"/>
      <c r="N588" s="77"/>
    </row>
    <row r="589" spans="4:14" ht="16.5" customHeight="1">
      <c r="D589" s="75"/>
      <c r="E589" s="75"/>
      <c r="F589" s="75"/>
      <c r="G589" s="75"/>
      <c r="L589" s="76"/>
      <c r="N589" s="77"/>
    </row>
    <row r="590" spans="4:14" ht="16.5" customHeight="1">
      <c r="D590" s="75"/>
      <c r="E590" s="75"/>
      <c r="F590" s="75"/>
      <c r="G590" s="75"/>
      <c r="L590" s="76"/>
      <c r="N590" s="77"/>
    </row>
    <row r="591" spans="4:14" ht="16.5" customHeight="1">
      <c r="D591" s="75"/>
      <c r="E591" s="75"/>
      <c r="F591" s="75"/>
      <c r="G591" s="75"/>
      <c r="L591" s="76"/>
      <c r="N591" s="77"/>
    </row>
    <row r="592" spans="4:14" ht="16.5" customHeight="1">
      <c r="D592" s="75"/>
      <c r="E592" s="75"/>
      <c r="F592" s="75"/>
      <c r="G592" s="75"/>
      <c r="L592" s="76"/>
      <c r="N592" s="77"/>
    </row>
    <row r="593" spans="4:14" ht="16.5" customHeight="1">
      <c r="D593" s="75"/>
      <c r="E593" s="75"/>
      <c r="F593" s="75"/>
      <c r="G593" s="75"/>
      <c r="L593" s="76"/>
      <c r="N593" s="77"/>
    </row>
    <row r="594" spans="4:14" ht="16.5" customHeight="1">
      <c r="D594" s="75"/>
      <c r="E594" s="75"/>
      <c r="F594" s="75"/>
      <c r="G594" s="75"/>
      <c r="L594" s="76"/>
      <c r="N594" s="77"/>
    </row>
    <row r="595" spans="4:14" ht="16.5" customHeight="1">
      <c r="D595" s="75"/>
      <c r="E595" s="75"/>
      <c r="F595" s="75"/>
      <c r="G595" s="75"/>
      <c r="L595" s="76"/>
      <c r="N595" s="77"/>
    </row>
    <row r="596" spans="4:14" ht="16.5" customHeight="1">
      <c r="D596" s="75"/>
      <c r="E596" s="75"/>
      <c r="F596" s="75"/>
      <c r="G596" s="75"/>
      <c r="L596" s="76"/>
      <c r="N596" s="77"/>
    </row>
    <row r="597" spans="4:14" ht="16.5" customHeight="1">
      <c r="D597" s="75"/>
      <c r="E597" s="75"/>
      <c r="F597" s="75"/>
      <c r="G597" s="75"/>
      <c r="L597" s="76"/>
      <c r="N597" s="77"/>
    </row>
    <row r="598" spans="4:14" ht="16.5" customHeight="1">
      <c r="D598" s="75"/>
      <c r="E598" s="75"/>
      <c r="F598" s="75"/>
      <c r="G598" s="75"/>
      <c r="L598" s="76"/>
      <c r="N598" s="77"/>
    </row>
    <row r="599" spans="4:14" ht="16.5" customHeight="1">
      <c r="D599" s="75"/>
      <c r="E599" s="75"/>
      <c r="F599" s="75"/>
      <c r="G599" s="75"/>
      <c r="L599" s="76"/>
      <c r="N599" s="77"/>
    </row>
    <row r="600" spans="4:14" ht="16.5" customHeight="1">
      <c r="D600" s="75"/>
      <c r="E600" s="75"/>
      <c r="F600" s="75"/>
      <c r="G600" s="75"/>
      <c r="L600" s="76"/>
      <c r="N600" s="77"/>
    </row>
    <row r="601" spans="4:14" ht="16.5" customHeight="1">
      <c r="D601" s="75"/>
      <c r="E601" s="75"/>
      <c r="F601" s="75"/>
      <c r="G601" s="75"/>
      <c r="L601" s="76"/>
      <c r="N601" s="77"/>
    </row>
    <row r="602" spans="4:14" ht="16.5" customHeight="1">
      <c r="D602" s="75"/>
      <c r="E602" s="75"/>
      <c r="F602" s="75"/>
      <c r="G602" s="75"/>
      <c r="L602" s="76"/>
      <c r="N602" s="77"/>
    </row>
    <row r="603" spans="4:14" ht="16.5" customHeight="1">
      <c r="D603" s="75"/>
      <c r="E603" s="75"/>
      <c r="F603" s="75"/>
      <c r="G603" s="75"/>
      <c r="L603" s="76"/>
      <c r="N603" s="77"/>
    </row>
    <row r="604" spans="4:14" ht="16.5" customHeight="1">
      <c r="D604" s="75"/>
      <c r="E604" s="75"/>
      <c r="F604" s="75"/>
      <c r="G604" s="75"/>
      <c r="L604" s="76"/>
      <c r="N604" s="77"/>
    </row>
    <row r="605" spans="4:14" ht="16.5" customHeight="1">
      <c r="D605" s="75"/>
      <c r="E605" s="75"/>
      <c r="F605" s="75"/>
      <c r="G605" s="75"/>
      <c r="L605" s="76"/>
      <c r="N605" s="77"/>
    </row>
    <row r="606" spans="4:14" ht="16.5" customHeight="1">
      <c r="D606" s="75"/>
      <c r="E606" s="75"/>
      <c r="F606" s="75"/>
      <c r="G606" s="75"/>
      <c r="L606" s="76"/>
      <c r="N606" s="77"/>
    </row>
    <row r="607" spans="4:14" ht="16.5" customHeight="1">
      <c r="D607" s="75"/>
      <c r="E607" s="75"/>
      <c r="F607" s="75"/>
      <c r="G607" s="75"/>
      <c r="L607" s="76"/>
      <c r="N607" s="77"/>
    </row>
    <row r="608" spans="4:14" ht="16.5" customHeight="1">
      <c r="D608" s="75"/>
      <c r="E608" s="75"/>
      <c r="F608" s="75"/>
      <c r="G608" s="75"/>
      <c r="L608" s="76"/>
      <c r="N608" s="77"/>
    </row>
    <row r="609" spans="4:14" ht="16.5" customHeight="1">
      <c r="D609" s="75"/>
      <c r="E609" s="75"/>
      <c r="F609" s="75"/>
      <c r="G609" s="75"/>
      <c r="L609" s="76"/>
      <c r="N609" s="77"/>
    </row>
    <row r="610" spans="4:14" ht="16.5" customHeight="1">
      <c r="D610" s="75"/>
      <c r="E610" s="75"/>
      <c r="F610" s="75"/>
      <c r="G610" s="75"/>
      <c r="L610" s="76"/>
      <c r="N610" s="77"/>
    </row>
    <row r="611" spans="4:14" ht="16.5" customHeight="1">
      <c r="D611" s="75"/>
      <c r="E611" s="75"/>
      <c r="F611" s="75"/>
      <c r="G611" s="75"/>
      <c r="L611" s="76"/>
      <c r="N611" s="77"/>
    </row>
    <row r="612" spans="4:14" ht="16.5" customHeight="1">
      <c r="D612" s="75"/>
      <c r="E612" s="75"/>
      <c r="F612" s="75"/>
      <c r="G612" s="75"/>
      <c r="L612" s="76"/>
      <c r="N612" s="77"/>
    </row>
    <row r="613" spans="4:14" ht="16.5" customHeight="1">
      <c r="D613" s="75"/>
      <c r="E613" s="75"/>
      <c r="F613" s="75"/>
      <c r="G613" s="75"/>
      <c r="L613" s="76"/>
      <c r="N613" s="77"/>
    </row>
    <row r="614" spans="4:14" ht="16.5" customHeight="1">
      <c r="D614" s="75"/>
      <c r="E614" s="75"/>
      <c r="F614" s="75"/>
      <c r="G614" s="75"/>
      <c r="L614" s="76"/>
      <c r="N614" s="77"/>
    </row>
    <row r="615" spans="4:14" ht="16.5" customHeight="1">
      <c r="D615" s="75"/>
      <c r="E615" s="75"/>
      <c r="F615" s="75"/>
      <c r="G615" s="75"/>
      <c r="L615" s="76"/>
      <c r="N615" s="77"/>
    </row>
    <row r="616" spans="4:14" ht="16.5" customHeight="1">
      <c r="D616" s="75"/>
      <c r="E616" s="75"/>
      <c r="F616" s="75"/>
      <c r="G616" s="75"/>
      <c r="L616" s="76"/>
      <c r="N616" s="77"/>
    </row>
    <row r="617" spans="4:14" ht="16.5" customHeight="1">
      <c r="D617" s="75"/>
      <c r="E617" s="75"/>
      <c r="F617" s="75"/>
      <c r="G617" s="75"/>
      <c r="L617" s="76"/>
      <c r="N617" s="77"/>
    </row>
    <row r="618" spans="4:14" ht="16.5" customHeight="1">
      <c r="D618" s="75"/>
      <c r="E618" s="75"/>
      <c r="F618" s="75"/>
      <c r="G618" s="75"/>
      <c r="L618" s="76"/>
      <c r="N618" s="77"/>
    </row>
    <row r="619" spans="4:14" ht="16.5" customHeight="1">
      <c r="D619" s="75"/>
      <c r="E619" s="75"/>
      <c r="F619" s="75"/>
      <c r="G619" s="75"/>
      <c r="L619" s="76"/>
      <c r="N619" s="77"/>
    </row>
    <row r="620" spans="4:14" ht="16.5" customHeight="1">
      <c r="D620" s="75"/>
      <c r="E620" s="75"/>
      <c r="F620" s="75"/>
      <c r="G620" s="75"/>
      <c r="L620" s="76"/>
      <c r="N620" s="77"/>
    </row>
    <row r="621" spans="4:14" ht="16.5" customHeight="1">
      <c r="D621" s="75"/>
      <c r="E621" s="75"/>
      <c r="F621" s="75"/>
      <c r="G621" s="75"/>
      <c r="L621" s="76"/>
      <c r="N621" s="77"/>
    </row>
    <row r="622" spans="4:14" ht="16.5" customHeight="1">
      <c r="D622" s="75"/>
      <c r="E622" s="75"/>
      <c r="F622" s="75"/>
      <c r="G622" s="75"/>
      <c r="L622" s="76"/>
      <c r="N622" s="77"/>
    </row>
    <row r="623" spans="4:14" ht="16.5" customHeight="1">
      <c r="D623" s="75"/>
      <c r="E623" s="75"/>
      <c r="F623" s="75"/>
      <c r="G623" s="75"/>
      <c r="L623" s="76"/>
      <c r="N623" s="77"/>
    </row>
    <row r="624" spans="4:14" ht="16.5" customHeight="1">
      <c r="D624" s="75"/>
      <c r="E624" s="75"/>
      <c r="F624" s="75"/>
      <c r="G624" s="75"/>
      <c r="L624" s="76"/>
      <c r="N624" s="77"/>
    </row>
    <row r="625" spans="4:14" ht="16.5" customHeight="1">
      <c r="D625" s="75"/>
      <c r="E625" s="75"/>
      <c r="F625" s="75"/>
      <c r="G625" s="75"/>
      <c r="L625" s="76"/>
      <c r="N625" s="77"/>
    </row>
    <row r="626" spans="4:14" ht="16.5" customHeight="1">
      <c r="D626" s="75"/>
      <c r="E626" s="75"/>
      <c r="F626" s="75"/>
      <c r="G626" s="75"/>
      <c r="L626" s="76"/>
      <c r="N626" s="77"/>
    </row>
    <row r="627" spans="4:14" ht="16.5" customHeight="1">
      <c r="D627" s="75"/>
      <c r="E627" s="75"/>
      <c r="F627" s="75"/>
      <c r="G627" s="75"/>
      <c r="L627" s="76"/>
      <c r="N627" s="77"/>
    </row>
    <row r="628" spans="4:14" ht="16.5" customHeight="1">
      <c r="D628" s="75"/>
      <c r="E628" s="75"/>
      <c r="F628" s="75"/>
      <c r="G628" s="75"/>
      <c r="L628" s="76"/>
      <c r="N628" s="77"/>
    </row>
    <row r="629" spans="4:14" ht="16.5" customHeight="1">
      <c r="D629" s="75"/>
      <c r="E629" s="75"/>
      <c r="F629" s="75"/>
      <c r="G629" s="75"/>
      <c r="L629" s="76"/>
      <c r="N629" s="77"/>
    </row>
    <row r="630" spans="4:14" ht="16.5" customHeight="1">
      <c r="D630" s="75"/>
      <c r="E630" s="75"/>
      <c r="F630" s="75"/>
      <c r="G630" s="75"/>
      <c r="L630" s="76"/>
      <c r="N630" s="77"/>
    </row>
    <row r="631" spans="4:14" ht="16.5" customHeight="1">
      <c r="D631" s="75"/>
      <c r="E631" s="75"/>
      <c r="F631" s="75"/>
      <c r="G631" s="75"/>
      <c r="L631" s="76"/>
      <c r="N631" s="77"/>
    </row>
    <row r="632" spans="4:14" ht="16.5" customHeight="1">
      <c r="D632" s="75"/>
      <c r="E632" s="75"/>
      <c r="F632" s="75"/>
      <c r="G632" s="75"/>
      <c r="L632" s="76"/>
      <c r="N632" s="77"/>
    </row>
    <row r="633" spans="4:14" ht="16.5" customHeight="1">
      <c r="D633" s="75"/>
      <c r="E633" s="75"/>
      <c r="F633" s="75"/>
      <c r="G633" s="75"/>
      <c r="L633" s="76"/>
      <c r="N633" s="77"/>
    </row>
    <row r="634" spans="4:14" ht="16.5" customHeight="1">
      <c r="D634" s="75"/>
      <c r="E634" s="75"/>
      <c r="F634" s="75"/>
      <c r="G634" s="75"/>
      <c r="L634" s="76"/>
      <c r="N634" s="77"/>
    </row>
    <row r="635" spans="4:14" ht="16.5" customHeight="1">
      <c r="D635" s="75"/>
      <c r="E635" s="75"/>
      <c r="F635" s="75"/>
      <c r="G635" s="75"/>
      <c r="L635" s="76"/>
      <c r="N635" s="77"/>
    </row>
    <row r="636" spans="4:14" ht="16.5" customHeight="1">
      <c r="D636" s="75"/>
      <c r="E636" s="75"/>
      <c r="F636" s="75"/>
      <c r="G636" s="75"/>
      <c r="L636" s="76"/>
      <c r="N636" s="77"/>
    </row>
    <row r="637" spans="4:14" ht="16.5" customHeight="1">
      <c r="D637" s="75"/>
      <c r="E637" s="75"/>
      <c r="F637" s="75"/>
      <c r="G637" s="75"/>
      <c r="L637" s="76"/>
      <c r="N637" s="77"/>
    </row>
    <row r="638" spans="4:14" ht="16.5" customHeight="1">
      <c r="D638" s="75"/>
      <c r="E638" s="75"/>
      <c r="F638" s="75"/>
      <c r="G638" s="75"/>
      <c r="L638" s="76"/>
      <c r="N638" s="77"/>
    </row>
    <row r="639" spans="4:14" ht="16.5" customHeight="1">
      <c r="D639" s="75"/>
      <c r="E639" s="75"/>
      <c r="F639" s="75"/>
      <c r="G639" s="75"/>
      <c r="L639" s="76"/>
      <c r="N639" s="77"/>
    </row>
    <row r="640" spans="4:14" ht="16.5" customHeight="1">
      <c r="D640" s="75"/>
      <c r="E640" s="75"/>
      <c r="F640" s="75"/>
      <c r="G640" s="75"/>
      <c r="L640" s="76"/>
      <c r="N640" s="77"/>
    </row>
    <row r="641" spans="4:14" ht="16.5" customHeight="1">
      <c r="D641" s="75"/>
      <c r="E641" s="75"/>
      <c r="F641" s="75"/>
      <c r="G641" s="75"/>
      <c r="L641" s="76"/>
      <c r="N641" s="77"/>
    </row>
    <row r="642" spans="4:14" ht="16.5" customHeight="1">
      <c r="D642" s="75"/>
      <c r="E642" s="75"/>
      <c r="F642" s="75"/>
      <c r="G642" s="75"/>
      <c r="L642" s="76"/>
      <c r="N642" s="77"/>
    </row>
    <row r="643" spans="4:14" ht="16.5" customHeight="1">
      <c r="D643" s="75"/>
      <c r="E643" s="75"/>
      <c r="F643" s="75"/>
      <c r="G643" s="75"/>
      <c r="L643" s="76"/>
      <c r="N643" s="77"/>
    </row>
    <row r="644" spans="4:14" ht="16.5" customHeight="1">
      <c r="D644" s="75"/>
      <c r="E644" s="75"/>
      <c r="F644" s="75"/>
      <c r="G644" s="75"/>
      <c r="L644" s="76"/>
      <c r="N644" s="77"/>
    </row>
    <row r="645" spans="4:14" ht="16.5" customHeight="1">
      <c r="D645" s="75"/>
      <c r="E645" s="75"/>
      <c r="F645" s="75"/>
      <c r="G645" s="75"/>
      <c r="L645" s="76"/>
      <c r="N645" s="77"/>
    </row>
    <row r="646" spans="4:14" ht="16.5" customHeight="1">
      <c r="D646" s="75"/>
      <c r="E646" s="75"/>
      <c r="F646" s="75"/>
      <c r="G646" s="75"/>
      <c r="L646" s="76"/>
      <c r="N646" s="77"/>
    </row>
    <row r="647" spans="4:14" ht="16.5" customHeight="1">
      <c r="D647" s="75"/>
      <c r="E647" s="75"/>
      <c r="F647" s="75"/>
      <c r="G647" s="75"/>
      <c r="L647" s="76"/>
      <c r="N647" s="77"/>
    </row>
    <row r="648" spans="4:14" ht="16.5" customHeight="1">
      <c r="D648" s="75"/>
      <c r="E648" s="75"/>
      <c r="F648" s="75"/>
      <c r="G648" s="75"/>
      <c r="L648" s="76"/>
      <c r="N648" s="77"/>
    </row>
    <row r="649" spans="4:14" ht="16.5" customHeight="1">
      <c r="D649" s="75"/>
      <c r="E649" s="75"/>
      <c r="F649" s="75"/>
      <c r="G649" s="75"/>
      <c r="L649" s="76"/>
      <c r="N649" s="77"/>
    </row>
    <row r="650" spans="4:14" ht="16.5" customHeight="1">
      <c r="D650" s="75"/>
      <c r="E650" s="75"/>
      <c r="F650" s="75"/>
      <c r="G650" s="75"/>
      <c r="L650" s="76"/>
      <c r="N650" s="77"/>
    </row>
    <row r="651" spans="4:14" ht="16.5" customHeight="1">
      <c r="D651" s="75"/>
      <c r="E651" s="75"/>
      <c r="F651" s="75"/>
      <c r="G651" s="75"/>
      <c r="L651" s="76"/>
      <c r="N651" s="77"/>
    </row>
    <row r="652" spans="4:14" ht="16.5" customHeight="1">
      <c r="D652" s="75"/>
      <c r="E652" s="75"/>
      <c r="F652" s="75"/>
      <c r="G652" s="75"/>
      <c r="L652" s="76"/>
      <c r="N652" s="77"/>
    </row>
    <row r="653" spans="4:14" ht="16.5" customHeight="1">
      <c r="D653" s="75"/>
      <c r="E653" s="75"/>
      <c r="F653" s="75"/>
      <c r="G653" s="75"/>
      <c r="L653" s="76"/>
      <c r="N653" s="77"/>
    </row>
    <row r="654" spans="4:14" ht="16.5" customHeight="1">
      <c r="D654" s="75"/>
      <c r="E654" s="75"/>
      <c r="F654" s="75"/>
      <c r="G654" s="75"/>
      <c r="L654" s="76"/>
      <c r="N654" s="77"/>
    </row>
    <row r="655" spans="4:14" ht="16.5" customHeight="1">
      <c r="D655" s="75"/>
      <c r="E655" s="75"/>
      <c r="F655" s="75"/>
      <c r="G655" s="75"/>
      <c r="L655" s="76"/>
      <c r="N655" s="77"/>
    </row>
    <row r="656" spans="4:14" ht="16.5" customHeight="1">
      <c r="D656" s="75"/>
      <c r="E656" s="75"/>
      <c r="F656" s="75"/>
      <c r="G656" s="75"/>
      <c r="L656" s="76"/>
      <c r="N656" s="77"/>
    </row>
    <row r="657" spans="4:14" ht="16.5" customHeight="1">
      <c r="D657" s="75"/>
      <c r="E657" s="75"/>
      <c r="F657" s="75"/>
      <c r="G657" s="75"/>
      <c r="L657" s="76"/>
      <c r="N657" s="77"/>
    </row>
    <row r="658" spans="4:14" ht="16.5" customHeight="1">
      <c r="D658" s="75"/>
      <c r="E658" s="75"/>
      <c r="F658" s="75"/>
      <c r="G658" s="75"/>
      <c r="L658" s="76"/>
      <c r="N658" s="77"/>
    </row>
    <row r="659" spans="4:14" ht="16.5" customHeight="1">
      <c r="D659" s="75"/>
      <c r="E659" s="75"/>
      <c r="F659" s="75"/>
      <c r="G659" s="75"/>
      <c r="L659" s="76"/>
      <c r="N659" s="77"/>
    </row>
    <row r="660" spans="4:14" ht="16.5" customHeight="1">
      <c r="D660" s="75"/>
      <c r="E660" s="75"/>
      <c r="F660" s="75"/>
      <c r="G660" s="75"/>
      <c r="L660" s="76"/>
      <c r="N660" s="77"/>
    </row>
    <row r="661" spans="4:14" ht="16.5" customHeight="1">
      <c r="D661" s="75"/>
      <c r="E661" s="75"/>
      <c r="F661" s="75"/>
      <c r="G661" s="75"/>
      <c r="L661" s="76"/>
      <c r="N661" s="77"/>
    </row>
    <row r="662" spans="4:14" ht="16.5" customHeight="1">
      <c r="D662" s="75"/>
      <c r="E662" s="75"/>
      <c r="F662" s="75"/>
      <c r="G662" s="75"/>
      <c r="L662" s="76"/>
      <c r="N662" s="77"/>
    </row>
    <row r="663" spans="4:14" ht="16.5" customHeight="1">
      <c r="D663" s="75"/>
      <c r="E663" s="75"/>
      <c r="F663" s="75"/>
      <c r="G663" s="75"/>
      <c r="L663" s="76"/>
      <c r="N663" s="77"/>
    </row>
    <row r="664" spans="4:14" ht="16.5" customHeight="1">
      <c r="D664" s="75"/>
      <c r="E664" s="75"/>
      <c r="F664" s="75"/>
      <c r="G664" s="75"/>
      <c r="L664" s="76"/>
      <c r="N664" s="77"/>
    </row>
    <row r="665" spans="4:14" ht="16.5" customHeight="1">
      <c r="D665" s="75"/>
      <c r="E665" s="75"/>
      <c r="F665" s="75"/>
      <c r="G665" s="75"/>
      <c r="L665" s="76"/>
      <c r="N665" s="77"/>
    </row>
    <row r="666" spans="4:14" ht="16.5" customHeight="1">
      <c r="D666" s="75"/>
      <c r="E666" s="75"/>
      <c r="F666" s="75"/>
      <c r="G666" s="75"/>
      <c r="L666" s="76"/>
      <c r="N666" s="77"/>
    </row>
    <row r="667" spans="4:14" ht="16.5" customHeight="1">
      <c r="D667" s="75"/>
      <c r="E667" s="75"/>
      <c r="F667" s="75"/>
      <c r="G667" s="75"/>
      <c r="L667" s="76"/>
      <c r="N667" s="77"/>
    </row>
    <row r="668" spans="4:14" ht="16.5" customHeight="1">
      <c r="D668" s="75"/>
      <c r="E668" s="75"/>
      <c r="F668" s="75"/>
      <c r="G668" s="75"/>
      <c r="L668" s="76"/>
      <c r="N668" s="77"/>
    </row>
    <row r="669" spans="4:14" ht="16.5" customHeight="1">
      <c r="D669" s="75"/>
      <c r="E669" s="75"/>
      <c r="F669" s="75"/>
      <c r="G669" s="75"/>
      <c r="L669" s="76"/>
      <c r="N669" s="77"/>
    </row>
    <row r="670" spans="4:14" ht="16.5" customHeight="1">
      <c r="D670" s="75"/>
      <c r="E670" s="75"/>
      <c r="F670" s="75"/>
      <c r="G670" s="75"/>
      <c r="L670" s="76"/>
      <c r="N670" s="77"/>
    </row>
    <row r="671" spans="4:14" ht="16.5" customHeight="1">
      <c r="D671" s="75"/>
      <c r="E671" s="75"/>
      <c r="F671" s="75"/>
      <c r="G671" s="75"/>
      <c r="L671" s="76"/>
      <c r="N671" s="77"/>
    </row>
    <row r="672" spans="4:14" ht="16.5" customHeight="1">
      <c r="D672" s="75"/>
      <c r="E672" s="75"/>
      <c r="F672" s="75"/>
      <c r="G672" s="75"/>
      <c r="L672" s="76"/>
      <c r="N672" s="77"/>
    </row>
    <row r="673" spans="4:14" ht="16.5" customHeight="1">
      <c r="D673" s="75"/>
      <c r="E673" s="75"/>
      <c r="F673" s="75"/>
      <c r="G673" s="75"/>
      <c r="L673" s="76"/>
      <c r="N673" s="77"/>
    </row>
    <row r="674" spans="4:14" ht="16.5" customHeight="1">
      <c r="D674" s="75"/>
      <c r="E674" s="75"/>
      <c r="F674" s="75"/>
      <c r="G674" s="75"/>
      <c r="L674" s="76"/>
      <c r="N674" s="77"/>
    </row>
    <row r="675" spans="4:14" ht="16.5" customHeight="1">
      <c r="D675" s="75"/>
      <c r="E675" s="75"/>
      <c r="F675" s="75"/>
      <c r="G675" s="75"/>
      <c r="L675" s="76"/>
      <c r="N675" s="77"/>
    </row>
    <row r="676" spans="4:14" ht="16.5" customHeight="1">
      <c r="D676" s="75"/>
      <c r="E676" s="75"/>
      <c r="F676" s="75"/>
      <c r="G676" s="75"/>
      <c r="L676" s="76"/>
      <c r="N676" s="77"/>
    </row>
    <row r="677" spans="4:14" ht="16.5" customHeight="1">
      <c r="D677" s="75"/>
      <c r="E677" s="75"/>
      <c r="F677" s="75"/>
      <c r="G677" s="75"/>
      <c r="L677" s="76"/>
      <c r="N677" s="77"/>
    </row>
    <row r="678" spans="4:14" ht="16.5" customHeight="1">
      <c r="D678" s="75"/>
      <c r="E678" s="75"/>
      <c r="F678" s="75"/>
      <c r="G678" s="75"/>
      <c r="L678" s="76"/>
      <c r="N678" s="77"/>
    </row>
    <row r="679" spans="4:14" ht="16.5" customHeight="1">
      <c r="D679" s="75"/>
      <c r="E679" s="75"/>
      <c r="F679" s="75"/>
      <c r="G679" s="75"/>
      <c r="L679" s="76"/>
      <c r="N679" s="77"/>
    </row>
    <row r="680" spans="4:14" ht="16.5" customHeight="1">
      <c r="D680" s="75"/>
      <c r="E680" s="75"/>
      <c r="F680" s="75"/>
      <c r="G680" s="75"/>
      <c r="L680" s="76"/>
      <c r="N680" s="77"/>
    </row>
    <row r="681" spans="4:14" ht="16.5" customHeight="1">
      <c r="D681" s="75"/>
      <c r="E681" s="75"/>
      <c r="F681" s="75"/>
      <c r="G681" s="75"/>
      <c r="L681" s="76"/>
      <c r="N681" s="77"/>
    </row>
    <row r="682" spans="4:14" ht="16.5" customHeight="1">
      <c r="D682" s="75"/>
      <c r="E682" s="75"/>
      <c r="F682" s="75"/>
      <c r="G682" s="75"/>
      <c r="L682" s="76"/>
      <c r="N682" s="77"/>
    </row>
    <row r="683" spans="4:14" ht="16.5" customHeight="1">
      <c r="D683" s="75"/>
      <c r="E683" s="75"/>
      <c r="F683" s="75"/>
      <c r="G683" s="75"/>
      <c r="L683" s="76"/>
      <c r="N683" s="77"/>
    </row>
    <row r="684" spans="4:14" ht="16.5" customHeight="1">
      <c r="D684" s="75"/>
      <c r="E684" s="75"/>
      <c r="F684" s="75"/>
      <c r="G684" s="75"/>
      <c r="L684" s="76"/>
      <c r="N684" s="77"/>
    </row>
    <row r="685" spans="4:14" ht="16.5" customHeight="1">
      <c r="D685" s="75"/>
      <c r="E685" s="75"/>
      <c r="F685" s="75"/>
      <c r="G685" s="75"/>
      <c r="L685" s="76"/>
      <c r="N685" s="77"/>
    </row>
    <row r="686" spans="4:14" ht="16.5" customHeight="1">
      <c r="D686" s="75"/>
      <c r="E686" s="75"/>
      <c r="F686" s="75"/>
      <c r="G686" s="75"/>
      <c r="L686" s="76"/>
      <c r="N686" s="77"/>
    </row>
    <row r="687" spans="4:14" ht="16.5" customHeight="1">
      <c r="D687" s="75"/>
      <c r="E687" s="75"/>
      <c r="F687" s="75"/>
      <c r="G687" s="75"/>
      <c r="L687" s="76"/>
      <c r="N687" s="77"/>
    </row>
    <row r="688" spans="4:14" ht="16.5" customHeight="1">
      <c r="D688" s="75"/>
      <c r="E688" s="75"/>
      <c r="F688" s="75"/>
      <c r="G688" s="75"/>
      <c r="L688" s="76"/>
      <c r="N688" s="77"/>
    </row>
    <row r="689" spans="4:14" ht="16.5" customHeight="1">
      <c r="D689" s="75"/>
      <c r="E689" s="75"/>
      <c r="F689" s="75"/>
      <c r="G689" s="75"/>
      <c r="L689" s="76"/>
      <c r="N689" s="77"/>
    </row>
    <row r="690" spans="4:14" ht="16.5" customHeight="1">
      <c r="D690" s="75"/>
      <c r="E690" s="75"/>
      <c r="F690" s="75"/>
      <c r="G690" s="75"/>
      <c r="L690" s="76"/>
      <c r="N690" s="77"/>
    </row>
    <row r="691" spans="4:14" ht="16.5" customHeight="1">
      <c r="D691" s="75"/>
      <c r="E691" s="75"/>
      <c r="F691" s="75"/>
      <c r="G691" s="75"/>
      <c r="L691" s="76"/>
      <c r="N691" s="77"/>
    </row>
    <row r="692" spans="4:14" ht="16.5" customHeight="1">
      <c r="D692" s="75"/>
      <c r="E692" s="75"/>
      <c r="F692" s="75"/>
      <c r="G692" s="75"/>
      <c r="L692" s="76"/>
      <c r="N692" s="77"/>
    </row>
    <row r="693" spans="4:14" ht="16.5" customHeight="1">
      <c r="D693" s="75"/>
      <c r="E693" s="75"/>
      <c r="F693" s="75"/>
      <c r="G693" s="75"/>
      <c r="L693" s="76"/>
      <c r="N693" s="77"/>
    </row>
    <row r="694" spans="4:14" ht="16.5" customHeight="1">
      <c r="D694" s="75"/>
      <c r="E694" s="75"/>
      <c r="F694" s="75"/>
      <c r="G694" s="75"/>
      <c r="L694" s="76"/>
      <c r="N694" s="77"/>
    </row>
    <row r="695" spans="4:14" ht="16.5" customHeight="1">
      <c r="D695" s="75"/>
      <c r="E695" s="75"/>
      <c r="F695" s="75"/>
      <c r="G695" s="75"/>
      <c r="L695" s="76"/>
      <c r="N695" s="77"/>
    </row>
    <row r="696" spans="4:14" ht="16.5" customHeight="1">
      <c r="D696" s="75"/>
      <c r="E696" s="75"/>
      <c r="F696" s="75"/>
      <c r="G696" s="75"/>
      <c r="L696" s="76"/>
      <c r="N696" s="77"/>
    </row>
    <row r="697" spans="4:14" ht="16.5" customHeight="1">
      <c r="D697" s="75"/>
      <c r="E697" s="75"/>
      <c r="F697" s="75"/>
      <c r="G697" s="75"/>
      <c r="L697" s="76"/>
      <c r="N697" s="77"/>
    </row>
    <row r="698" spans="4:14" ht="16.5" customHeight="1">
      <c r="D698" s="75"/>
      <c r="E698" s="75"/>
      <c r="F698" s="75"/>
      <c r="G698" s="75"/>
      <c r="L698" s="76"/>
      <c r="N698" s="77"/>
    </row>
    <row r="699" spans="4:14" ht="16.5" customHeight="1">
      <c r="D699" s="75"/>
      <c r="E699" s="75"/>
      <c r="F699" s="75"/>
      <c r="G699" s="75"/>
      <c r="L699" s="76"/>
      <c r="N699" s="77"/>
    </row>
    <row r="700" spans="4:14" ht="16.5" customHeight="1">
      <c r="D700" s="75"/>
      <c r="E700" s="75"/>
      <c r="F700" s="75"/>
      <c r="G700" s="75"/>
      <c r="L700" s="76"/>
      <c r="N700" s="77"/>
    </row>
    <row r="701" spans="4:14" ht="16.5" customHeight="1">
      <c r="D701" s="75"/>
      <c r="E701" s="75"/>
      <c r="F701" s="75"/>
      <c r="G701" s="75"/>
      <c r="L701" s="76"/>
      <c r="N701" s="77"/>
    </row>
    <row r="702" spans="4:14" ht="16.5" customHeight="1">
      <c r="D702" s="75"/>
      <c r="E702" s="75"/>
      <c r="F702" s="75"/>
      <c r="G702" s="75"/>
      <c r="L702" s="76"/>
      <c r="N702" s="77"/>
    </row>
    <row r="703" spans="4:14" ht="16.5" customHeight="1">
      <c r="D703" s="75"/>
      <c r="E703" s="75"/>
      <c r="F703" s="75"/>
      <c r="G703" s="75"/>
      <c r="L703" s="76"/>
      <c r="N703" s="77"/>
    </row>
    <row r="704" spans="4:14" ht="16.5" customHeight="1">
      <c r="D704" s="75"/>
      <c r="E704" s="75"/>
      <c r="F704" s="75"/>
      <c r="G704" s="75"/>
      <c r="L704" s="76"/>
      <c r="N704" s="77"/>
    </row>
    <row r="705" spans="4:14" ht="16.5" customHeight="1">
      <c r="D705" s="75"/>
      <c r="E705" s="75"/>
      <c r="F705" s="75"/>
      <c r="G705" s="75"/>
      <c r="L705" s="76"/>
      <c r="N705" s="77"/>
    </row>
    <row r="706" spans="4:14" ht="16.5" customHeight="1">
      <c r="D706" s="75"/>
      <c r="E706" s="75"/>
      <c r="F706" s="75"/>
      <c r="G706" s="75"/>
      <c r="L706" s="76"/>
      <c r="N706" s="77"/>
    </row>
    <row r="707" spans="4:14" ht="16.5" customHeight="1">
      <c r="D707" s="75"/>
      <c r="E707" s="75"/>
      <c r="F707" s="75"/>
      <c r="G707" s="75"/>
      <c r="L707" s="76"/>
      <c r="N707" s="77"/>
    </row>
    <row r="708" spans="4:14" ht="16.5" customHeight="1">
      <c r="D708" s="75"/>
      <c r="E708" s="75"/>
      <c r="F708" s="75"/>
      <c r="G708" s="75"/>
      <c r="L708" s="76"/>
      <c r="N708" s="77"/>
    </row>
    <row r="709" spans="4:14" ht="16.5" customHeight="1">
      <c r="D709" s="75"/>
      <c r="E709" s="75"/>
      <c r="F709" s="75"/>
      <c r="G709" s="75"/>
      <c r="L709" s="76"/>
      <c r="N709" s="77"/>
    </row>
    <row r="710" spans="4:14" ht="16.5" customHeight="1">
      <c r="D710" s="75"/>
      <c r="E710" s="75"/>
      <c r="F710" s="75"/>
      <c r="G710" s="75"/>
      <c r="L710" s="76"/>
      <c r="N710" s="77"/>
    </row>
    <row r="711" spans="4:14" ht="16.5" customHeight="1">
      <c r="D711" s="75"/>
      <c r="E711" s="75"/>
      <c r="F711" s="75"/>
      <c r="G711" s="75"/>
      <c r="L711" s="76"/>
      <c r="N711" s="77"/>
    </row>
    <row r="712" spans="4:14" ht="16.5" customHeight="1">
      <c r="D712" s="75"/>
      <c r="E712" s="75"/>
      <c r="F712" s="75"/>
      <c r="G712" s="75"/>
      <c r="L712" s="76"/>
      <c r="N712" s="77"/>
    </row>
    <row r="713" spans="4:14" ht="16.5" customHeight="1">
      <c r="D713" s="75"/>
      <c r="E713" s="75"/>
      <c r="F713" s="75"/>
      <c r="G713" s="75"/>
      <c r="L713" s="76"/>
      <c r="N713" s="77"/>
    </row>
    <row r="714" spans="4:14" ht="16.5" customHeight="1">
      <c r="D714" s="75"/>
      <c r="E714" s="75"/>
      <c r="F714" s="75"/>
      <c r="G714" s="75"/>
      <c r="L714" s="76"/>
      <c r="N714" s="77"/>
    </row>
    <row r="715" spans="4:14" ht="16.5" customHeight="1">
      <c r="D715" s="75"/>
      <c r="E715" s="75"/>
      <c r="F715" s="75"/>
      <c r="G715" s="75"/>
      <c r="L715" s="76"/>
      <c r="N715" s="77"/>
    </row>
    <row r="716" spans="4:14" ht="16.5" customHeight="1">
      <c r="D716" s="75"/>
      <c r="E716" s="75"/>
      <c r="F716" s="75"/>
      <c r="G716" s="75"/>
      <c r="L716" s="76"/>
      <c r="N716" s="77"/>
    </row>
    <row r="717" spans="4:14" ht="16.5" customHeight="1">
      <c r="D717" s="75"/>
      <c r="E717" s="75"/>
      <c r="F717" s="75"/>
      <c r="G717" s="75"/>
      <c r="L717" s="76"/>
      <c r="N717" s="77"/>
    </row>
    <row r="718" spans="4:14" ht="16.5" customHeight="1">
      <c r="D718" s="75"/>
      <c r="E718" s="75"/>
      <c r="F718" s="75"/>
      <c r="G718" s="75"/>
      <c r="L718" s="76"/>
      <c r="N718" s="77"/>
    </row>
    <row r="719" spans="4:14" ht="16.5" customHeight="1">
      <c r="D719" s="75"/>
      <c r="E719" s="75"/>
      <c r="F719" s="75"/>
      <c r="G719" s="75"/>
      <c r="L719" s="76"/>
      <c r="N719" s="77"/>
    </row>
    <row r="720" spans="4:14" ht="16.5" customHeight="1">
      <c r="D720" s="75"/>
      <c r="E720" s="75"/>
      <c r="F720" s="75"/>
      <c r="G720" s="75"/>
      <c r="L720" s="76"/>
      <c r="N720" s="77"/>
    </row>
    <row r="721" spans="4:14" ht="16.5" customHeight="1">
      <c r="D721" s="75"/>
      <c r="E721" s="75"/>
      <c r="F721" s="75"/>
      <c r="G721" s="75"/>
      <c r="L721" s="76"/>
      <c r="N721" s="77"/>
    </row>
    <row r="722" spans="4:14" ht="16.5" customHeight="1">
      <c r="D722" s="75"/>
      <c r="E722" s="75"/>
      <c r="F722" s="75"/>
      <c r="G722" s="75"/>
      <c r="L722" s="76"/>
      <c r="N722" s="77"/>
    </row>
    <row r="723" spans="4:14" ht="16.5" customHeight="1">
      <c r="D723" s="75"/>
      <c r="E723" s="75"/>
      <c r="F723" s="75"/>
      <c r="G723" s="75"/>
      <c r="L723" s="76"/>
      <c r="N723" s="77"/>
    </row>
    <row r="724" spans="4:14" ht="16.5" customHeight="1">
      <c r="D724" s="75"/>
      <c r="E724" s="75"/>
      <c r="F724" s="75"/>
      <c r="G724" s="75"/>
      <c r="L724" s="76"/>
      <c r="N724" s="77"/>
    </row>
    <row r="725" spans="4:14" ht="16.5" customHeight="1">
      <c r="D725" s="75"/>
      <c r="E725" s="75"/>
      <c r="F725" s="75"/>
      <c r="G725" s="75"/>
      <c r="L725" s="76"/>
      <c r="N725" s="77"/>
    </row>
    <row r="726" spans="4:14" ht="16.5" customHeight="1">
      <c r="D726" s="75"/>
      <c r="E726" s="75"/>
      <c r="F726" s="75"/>
      <c r="G726" s="75"/>
      <c r="L726" s="76"/>
      <c r="N726" s="77"/>
    </row>
    <row r="727" spans="4:14" ht="16.5" customHeight="1">
      <c r="D727" s="75"/>
      <c r="E727" s="75"/>
      <c r="F727" s="75"/>
      <c r="G727" s="75"/>
      <c r="L727" s="76"/>
      <c r="N727" s="77"/>
    </row>
    <row r="728" spans="4:14" ht="16.5" customHeight="1">
      <c r="D728" s="75"/>
      <c r="E728" s="75"/>
      <c r="F728" s="75"/>
      <c r="G728" s="75"/>
      <c r="L728" s="76"/>
      <c r="N728" s="77"/>
    </row>
    <row r="729" spans="4:14" ht="16.5" customHeight="1">
      <c r="D729" s="75"/>
      <c r="E729" s="75"/>
      <c r="F729" s="75"/>
      <c r="G729" s="75"/>
      <c r="L729" s="76"/>
      <c r="N729" s="77"/>
    </row>
    <row r="730" spans="4:14" ht="16.5" customHeight="1">
      <c r="D730" s="75"/>
      <c r="E730" s="75"/>
      <c r="F730" s="75"/>
      <c r="G730" s="75"/>
      <c r="L730" s="76"/>
      <c r="N730" s="77"/>
    </row>
    <row r="731" spans="4:14" ht="16.5" customHeight="1">
      <c r="D731" s="75"/>
      <c r="E731" s="75"/>
      <c r="F731" s="75"/>
      <c r="G731" s="75"/>
      <c r="L731" s="76"/>
      <c r="N731" s="77"/>
    </row>
    <row r="732" spans="4:14" ht="16.5" customHeight="1">
      <c r="D732" s="75"/>
      <c r="E732" s="75"/>
      <c r="F732" s="75"/>
      <c r="G732" s="75"/>
      <c r="L732" s="76"/>
      <c r="N732" s="77"/>
    </row>
    <row r="733" spans="4:14" ht="16.5" customHeight="1">
      <c r="D733" s="75"/>
      <c r="E733" s="75"/>
      <c r="F733" s="75"/>
      <c r="G733" s="75"/>
      <c r="L733" s="76"/>
      <c r="N733" s="77"/>
    </row>
    <row r="734" spans="4:14" ht="16.5" customHeight="1">
      <c r="D734" s="75"/>
      <c r="E734" s="75"/>
      <c r="F734" s="75"/>
      <c r="G734" s="75"/>
      <c r="L734" s="76"/>
      <c r="N734" s="77"/>
    </row>
    <row r="735" spans="4:14" ht="16.5" customHeight="1">
      <c r="D735" s="75"/>
      <c r="E735" s="75"/>
      <c r="F735" s="75"/>
      <c r="G735" s="75"/>
      <c r="L735" s="76"/>
      <c r="N735" s="77"/>
    </row>
    <row r="736" spans="4:14" ht="16.5" customHeight="1">
      <c r="D736" s="75"/>
      <c r="E736" s="75"/>
      <c r="F736" s="75"/>
      <c r="G736" s="75"/>
      <c r="L736" s="76"/>
      <c r="N736" s="77"/>
    </row>
    <row r="737" spans="4:14" ht="16.5" customHeight="1">
      <c r="D737" s="75"/>
      <c r="E737" s="75"/>
      <c r="F737" s="75"/>
      <c r="G737" s="75"/>
      <c r="L737" s="76"/>
      <c r="N737" s="77"/>
    </row>
    <row r="738" spans="4:14" ht="16.5" customHeight="1">
      <c r="D738" s="75"/>
      <c r="E738" s="75"/>
      <c r="F738" s="75"/>
      <c r="G738" s="75"/>
      <c r="L738" s="76"/>
      <c r="N738" s="77"/>
    </row>
    <row r="739" spans="4:14" ht="16.5" customHeight="1">
      <c r="D739" s="75"/>
      <c r="E739" s="75"/>
      <c r="F739" s="75"/>
      <c r="G739" s="75"/>
      <c r="L739" s="76"/>
      <c r="N739" s="77"/>
    </row>
    <row r="740" spans="4:14" ht="16.5" customHeight="1">
      <c r="D740" s="75"/>
      <c r="E740" s="75"/>
      <c r="F740" s="75"/>
      <c r="G740" s="75"/>
      <c r="L740" s="76"/>
      <c r="N740" s="77"/>
    </row>
    <row r="741" spans="4:14" ht="16.5" customHeight="1">
      <c r="D741" s="75"/>
      <c r="E741" s="75"/>
      <c r="F741" s="75"/>
      <c r="G741" s="75"/>
      <c r="L741" s="76"/>
      <c r="N741" s="77"/>
    </row>
    <row r="742" spans="4:14" ht="16.5" customHeight="1">
      <c r="D742" s="75"/>
      <c r="E742" s="75"/>
      <c r="F742" s="75"/>
      <c r="G742" s="75"/>
      <c r="L742" s="76"/>
      <c r="N742" s="77"/>
    </row>
    <row r="743" spans="4:14" ht="16.5" customHeight="1">
      <c r="D743" s="75"/>
      <c r="E743" s="75"/>
      <c r="F743" s="75"/>
      <c r="G743" s="75"/>
      <c r="L743" s="76"/>
      <c r="N743" s="77"/>
    </row>
    <row r="744" spans="4:14" ht="16.5" customHeight="1">
      <c r="D744" s="75"/>
      <c r="E744" s="75"/>
      <c r="F744" s="75"/>
      <c r="G744" s="75"/>
      <c r="L744" s="76"/>
      <c r="N744" s="77"/>
    </row>
    <row r="745" spans="4:14" ht="16.5" customHeight="1">
      <c r="D745" s="75"/>
      <c r="E745" s="75"/>
      <c r="F745" s="75"/>
      <c r="G745" s="75"/>
      <c r="L745" s="76"/>
      <c r="N745" s="77"/>
    </row>
    <row r="746" spans="4:14" ht="16.5" customHeight="1">
      <c r="D746" s="75"/>
      <c r="E746" s="75"/>
      <c r="F746" s="75"/>
      <c r="G746" s="75"/>
      <c r="L746" s="76"/>
      <c r="N746" s="77"/>
    </row>
    <row r="747" spans="4:14" ht="16.5" customHeight="1">
      <c r="D747" s="75"/>
      <c r="E747" s="75"/>
      <c r="F747" s="75"/>
      <c r="G747" s="75"/>
      <c r="L747" s="76"/>
      <c r="N747" s="77"/>
    </row>
    <row r="748" spans="4:14" ht="16.5" customHeight="1">
      <c r="D748" s="75"/>
      <c r="E748" s="75"/>
      <c r="F748" s="75"/>
      <c r="G748" s="75"/>
      <c r="L748" s="76"/>
      <c r="N748" s="77"/>
    </row>
    <row r="749" spans="4:14" ht="16.5" customHeight="1">
      <c r="D749" s="75"/>
      <c r="E749" s="75"/>
      <c r="F749" s="75"/>
      <c r="G749" s="75"/>
      <c r="L749" s="76"/>
      <c r="N749" s="77"/>
    </row>
    <row r="750" spans="4:14" ht="16.5" customHeight="1">
      <c r="D750" s="75"/>
      <c r="E750" s="75"/>
      <c r="F750" s="75"/>
      <c r="G750" s="75"/>
      <c r="L750" s="76"/>
      <c r="N750" s="77"/>
    </row>
    <row r="751" spans="4:14" ht="16.5" customHeight="1">
      <c r="D751" s="75"/>
      <c r="E751" s="75"/>
      <c r="F751" s="75"/>
      <c r="G751" s="75"/>
      <c r="L751" s="76"/>
      <c r="N751" s="77"/>
    </row>
    <row r="752" spans="4:14" ht="16.5" customHeight="1">
      <c r="D752" s="75"/>
      <c r="E752" s="75"/>
      <c r="F752" s="75"/>
      <c r="G752" s="75"/>
      <c r="L752" s="76"/>
      <c r="N752" s="77"/>
    </row>
    <row r="753" spans="4:14" ht="16.5" customHeight="1">
      <c r="D753" s="75"/>
      <c r="E753" s="75"/>
      <c r="F753" s="75"/>
      <c r="G753" s="75"/>
      <c r="L753" s="76"/>
      <c r="N753" s="77"/>
    </row>
    <row r="754" spans="4:14" ht="16.5" customHeight="1">
      <c r="D754" s="75"/>
      <c r="E754" s="75"/>
      <c r="F754" s="75"/>
      <c r="G754" s="75"/>
      <c r="L754" s="76"/>
      <c r="N754" s="77"/>
    </row>
    <row r="755" spans="4:14" ht="16.5" customHeight="1">
      <c r="D755" s="75"/>
      <c r="E755" s="75"/>
      <c r="F755" s="75"/>
      <c r="G755" s="75"/>
      <c r="L755" s="76"/>
      <c r="N755" s="77"/>
    </row>
    <row r="756" spans="4:14" ht="16.5" customHeight="1">
      <c r="D756" s="75"/>
      <c r="E756" s="75"/>
      <c r="F756" s="75"/>
      <c r="G756" s="75"/>
      <c r="L756" s="76"/>
      <c r="N756" s="77"/>
    </row>
    <row r="757" spans="4:14" ht="16.5" customHeight="1">
      <c r="D757" s="75"/>
      <c r="E757" s="75"/>
      <c r="F757" s="75"/>
      <c r="G757" s="75"/>
      <c r="L757" s="76"/>
      <c r="N757" s="77"/>
    </row>
    <row r="758" spans="4:14" ht="16.5" customHeight="1">
      <c r="D758" s="75"/>
      <c r="E758" s="75"/>
      <c r="F758" s="75"/>
      <c r="G758" s="75"/>
      <c r="L758" s="76"/>
      <c r="N758" s="77"/>
    </row>
    <row r="759" spans="4:14" ht="16.5" customHeight="1">
      <c r="D759" s="75"/>
      <c r="E759" s="75"/>
      <c r="F759" s="75"/>
      <c r="G759" s="75"/>
      <c r="L759" s="76"/>
      <c r="N759" s="77"/>
    </row>
    <row r="760" spans="4:14" ht="16.5" customHeight="1">
      <c r="D760" s="75"/>
      <c r="E760" s="75"/>
      <c r="F760" s="75"/>
      <c r="G760" s="75"/>
      <c r="L760" s="76"/>
      <c r="N760" s="77"/>
    </row>
    <row r="761" spans="4:14" ht="16.5" customHeight="1">
      <c r="D761" s="75"/>
      <c r="E761" s="75"/>
      <c r="F761" s="75"/>
      <c r="G761" s="75"/>
      <c r="L761" s="76"/>
      <c r="N761" s="77"/>
    </row>
    <row r="762" spans="4:14" ht="16.5" customHeight="1">
      <c r="D762" s="75"/>
      <c r="E762" s="75"/>
      <c r="F762" s="75"/>
      <c r="G762" s="75"/>
      <c r="L762" s="76"/>
      <c r="N762" s="77"/>
    </row>
    <row r="763" spans="4:14" ht="16.5" customHeight="1">
      <c r="D763" s="75"/>
      <c r="E763" s="75"/>
      <c r="F763" s="75"/>
      <c r="G763" s="75"/>
      <c r="L763" s="76"/>
      <c r="N763" s="77"/>
    </row>
    <row r="764" spans="4:14" ht="16.5" customHeight="1">
      <c r="D764" s="75"/>
      <c r="E764" s="75"/>
      <c r="F764" s="75"/>
      <c r="G764" s="75"/>
      <c r="L764" s="76"/>
      <c r="N764" s="77"/>
    </row>
    <row r="765" spans="4:14" ht="16.5" customHeight="1">
      <c r="D765" s="75"/>
      <c r="E765" s="75"/>
      <c r="F765" s="75"/>
      <c r="G765" s="75"/>
      <c r="L765" s="76"/>
      <c r="N765" s="77"/>
    </row>
    <row r="766" spans="4:14" ht="16.5" customHeight="1">
      <c r="D766" s="75"/>
      <c r="E766" s="75"/>
      <c r="F766" s="75"/>
      <c r="G766" s="75"/>
      <c r="L766" s="76"/>
      <c r="N766" s="77"/>
    </row>
    <row r="767" spans="4:14" ht="16.5" customHeight="1">
      <c r="D767" s="75"/>
      <c r="E767" s="75"/>
      <c r="F767" s="75"/>
      <c r="G767" s="75"/>
      <c r="L767" s="76"/>
      <c r="N767" s="77"/>
    </row>
    <row r="768" spans="4:14" ht="16.5" customHeight="1">
      <c r="D768" s="75"/>
      <c r="E768" s="75"/>
      <c r="F768" s="75"/>
      <c r="G768" s="75"/>
      <c r="L768" s="76"/>
      <c r="N768" s="77"/>
    </row>
    <row r="769" spans="4:14" ht="16.5" customHeight="1">
      <c r="D769" s="75"/>
      <c r="E769" s="75"/>
      <c r="F769" s="75"/>
      <c r="G769" s="75"/>
      <c r="L769" s="76"/>
      <c r="N769" s="77"/>
    </row>
    <row r="770" spans="4:14" ht="16.5" customHeight="1">
      <c r="D770" s="75"/>
      <c r="E770" s="75"/>
      <c r="F770" s="75"/>
      <c r="G770" s="75"/>
      <c r="L770" s="76"/>
      <c r="N770" s="77"/>
    </row>
    <row r="771" spans="4:14" ht="16.5" customHeight="1">
      <c r="D771" s="75"/>
      <c r="E771" s="75"/>
      <c r="F771" s="75"/>
      <c r="G771" s="75"/>
      <c r="L771" s="76"/>
      <c r="N771" s="77"/>
    </row>
    <row r="772" spans="4:14" ht="16.5" customHeight="1">
      <c r="D772" s="75"/>
      <c r="E772" s="75"/>
      <c r="F772" s="75"/>
      <c r="G772" s="75"/>
      <c r="L772" s="76"/>
      <c r="N772" s="77"/>
    </row>
    <row r="773" spans="4:14" ht="16.5" customHeight="1">
      <c r="D773" s="75"/>
      <c r="E773" s="75"/>
      <c r="F773" s="75"/>
      <c r="G773" s="75"/>
      <c r="L773" s="76"/>
      <c r="N773" s="77"/>
    </row>
    <row r="774" spans="4:14" ht="16.5" customHeight="1">
      <c r="D774" s="75"/>
      <c r="E774" s="75"/>
      <c r="F774" s="75"/>
      <c r="G774" s="75"/>
      <c r="L774" s="76"/>
      <c r="N774" s="77"/>
    </row>
    <row r="775" spans="4:14" ht="16.5" customHeight="1">
      <c r="D775" s="75"/>
      <c r="E775" s="75"/>
      <c r="F775" s="75"/>
      <c r="G775" s="75"/>
      <c r="L775" s="76"/>
      <c r="N775" s="77"/>
    </row>
    <row r="776" spans="4:14" ht="16.5" customHeight="1">
      <c r="D776" s="75"/>
      <c r="E776" s="75"/>
      <c r="F776" s="75"/>
      <c r="G776" s="75"/>
      <c r="L776" s="76"/>
      <c r="N776" s="77"/>
    </row>
    <row r="777" spans="4:14" ht="16.5" customHeight="1">
      <c r="D777" s="75"/>
      <c r="E777" s="75"/>
      <c r="F777" s="75"/>
      <c r="G777" s="75"/>
      <c r="L777" s="76"/>
      <c r="N777" s="77"/>
    </row>
    <row r="778" spans="4:14" ht="16.5" customHeight="1">
      <c r="D778" s="75"/>
      <c r="E778" s="75"/>
      <c r="F778" s="75"/>
      <c r="G778" s="75"/>
      <c r="L778" s="76"/>
      <c r="N778" s="77"/>
    </row>
    <row r="779" spans="4:14" ht="16.5" customHeight="1">
      <c r="D779" s="75"/>
      <c r="E779" s="75"/>
      <c r="F779" s="75"/>
      <c r="G779" s="75"/>
      <c r="L779" s="76"/>
      <c r="N779" s="77"/>
    </row>
    <row r="780" spans="4:14" ht="16.5" customHeight="1">
      <c r="D780" s="75"/>
      <c r="E780" s="75"/>
      <c r="F780" s="75"/>
      <c r="G780" s="75"/>
      <c r="L780" s="76"/>
      <c r="N780" s="77"/>
    </row>
    <row r="781" spans="4:14" ht="16.5" customHeight="1">
      <c r="D781" s="75"/>
      <c r="E781" s="75"/>
      <c r="F781" s="75"/>
      <c r="G781" s="75"/>
      <c r="L781" s="76"/>
      <c r="N781" s="77"/>
    </row>
    <row r="782" spans="4:14" ht="16.5" customHeight="1">
      <c r="D782" s="75"/>
      <c r="E782" s="75"/>
      <c r="F782" s="75"/>
      <c r="G782" s="75"/>
      <c r="L782" s="76"/>
      <c r="N782" s="77"/>
    </row>
    <row r="783" spans="4:14" ht="16.5" customHeight="1">
      <c r="D783" s="75"/>
      <c r="E783" s="75"/>
      <c r="F783" s="75"/>
      <c r="G783" s="75"/>
      <c r="L783" s="76"/>
      <c r="N783" s="77"/>
    </row>
    <row r="784" spans="4:14" ht="16.5" customHeight="1">
      <c r="D784" s="75"/>
      <c r="E784" s="75"/>
      <c r="F784" s="75"/>
      <c r="G784" s="75"/>
      <c r="L784" s="76"/>
      <c r="N784" s="77"/>
    </row>
    <row r="785" spans="4:14" ht="16.5" customHeight="1">
      <c r="D785" s="75"/>
      <c r="E785" s="75"/>
      <c r="F785" s="75"/>
      <c r="G785" s="75"/>
      <c r="L785" s="76"/>
      <c r="N785" s="77"/>
    </row>
    <row r="786" spans="4:14" ht="16.5" customHeight="1">
      <c r="D786" s="75"/>
      <c r="E786" s="75"/>
      <c r="F786" s="75"/>
      <c r="G786" s="75"/>
      <c r="L786" s="76"/>
      <c r="N786" s="77"/>
    </row>
    <row r="787" spans="4:14" ht="16.5" customHeight="1">
      <c r="D787" s="75"/>
      <c r="E787" s="75"/>
      <c r="F787" s="75"/>
      <c r="G787" s="75"/>
      <c r="L787" s="76"/>
      <c r="N787" s="77"/>
    </row>
    <row r="788" spans="4:14" ht="16.5" customHeight="1">
      <c r="D788" s="75"/>
      <c r="E788" s="75"/>
      <c r="F788" s="75"/>
      <c r="G788" s="75"/>
      <c r="L788" s="76"/>
      <c r="N788" s="77"/>
    </row>
    <row r="789" spans="4:14" ht="16.5" customHeight="1">
      <c r="D789" s="75"/>
      <c r="E789" s="75"/>
      <c r="F789" s="75"/>
      <c r="G789" s="75"/>
      <c r="L789" s="76"/>
      <c r="N789" s="77"/>
    </row>
    <row r="790" spans="4:14" ht="16.5" customHeight="1">
      <c r="D790" s="75"/>
      <c r="E790" s="75"/>
      <c r="F790" s="75"/>
      <c r="G790" s="75"/>
      <c r="L790" s="76"/>
      <c r="N790" s="77"/>
    </row>
    <row r="791" spans="4:14" ht="16.5" customHeight="1">
      <c r="D791" s="75"/>
      <c r="E791" s="75"/>
      <c r="F791" s="75"/>
      <c r="G791" s="75"/>
      <c r="L791" s="76"/>
      <c r="N791" s="77"/>
    </row>
    <row r="792" spans="4:14" ht="16.5" customHeight="1">
      <c r="D792" s="75"/>
      <c r="E792" s="75"/>
      <c r="F792" s="75"/>
      <c r="G792" s="75"/>
      <c r="L792" s="76"/>
      <c r="N792" s="77"/>
    </row>
    <row r="793" spans="4:14" ht="16.5" customHeight="1">
      <c r="D793" s="75"/>
      <c r="E793" s="75"/>
      <c r="F793" s="75"/>
      <c r="G793" s="75"/>
      <c r="L793" s="76"/>
      <c r="N793" s="77"/>
    </row>
    <row r="794" spans="4:14" ht="16.5" customHeight="1">
      <c r="D794" s="75"/>
      <c r="E794" s="75"/>
      <c r="F794" s="75"/>
      <c r="G794" s="75"/>
      <c r="L794" s="76"/>
      <c r="N794" s="77"/>
    </row>
    <row r="795" spans="4:14" ht="16.5" customHeight="1">
      <c r="D795" s="75"/>
      <c r="E795" s="75"/>
      <c r="F795" s="75"/>
      <c r="G795" s="75"/>
      <c r="L795" s="76"/>
      <c r="N795" s="77"/>
    </row>
    <row r="796" spans="4:14" ht="16.5" customHeight="1">
      <c r="D796" s="75"/>
      <c r="E796" s="75"/>
      <c r="F796" s="75"/>
      <c r="G796" s="75"/>
      <c r="L796" s="76"/>
      <c r="N796" s="77"/>
    </row>
    <row r="797" spans="4:14" ht="16.5" customHeight="1">
      <c r="D797" s="75"/>
      <c r="E797" s="75"/>
      <c r="F797" s="75"/>
      <c r="G797" s="75"/>
      <c r="L797" s="76"/>
      <c r="N797" s="77"/>
    </row>
    <row r="798" spans="4:14" ht="16.5" customHeight="1">
      <c r="D798" s="75"/>
      <c r="E798" s="75"/>
      <c r="F798" s="75"/>
      <c r="G798" s="75"/>
      <c r="L798" s="76"/>
      <c r="N798" s="77"/>
    </row>
    <row r="799" spans="4:14" ht="16.5" customHeight="1">
      <c r="D799" s="75"/>
      <c r="E799" s="75"/>
      <c r="F799" s="75"/>
      <c r="G799" s="75"/>
      <c r="L799" s="76"/>
      <c r="N799" s="77"/>
    </row>
    <row r="800" spans="4:14" ht="16.5" customHeight="1">
      <c r="D800" s="75"/>
      <c r="E800" s="75"/>
      <c r="F800" s="75"/>
      <c r="G800" s="75"/>
      <c r="L800" s="76"/>
      <c r="N800" s="77"/>
    </row>
    <row r="801" spans="4:14" ht="16.5" customHeight="1">
      <c r="D801" s="75"/>
      <c r="E801" s="75"/>
      <c r="F801" s="75"/>
      <c r="G801" s="75"/>
      <c r="L801" s="76"/>
      <c r="N801" s="77"/>
    </row>
    <row r="802" spans="4:14" ht="16.5" customHeight="1">
      <c r="D802" s="75"/>
      <c r="E802" s="75"/>
      <c r="F802" s="75"/>
      <c r="G802" s="75"/>
      <c r="L802" s="76"/>
      <c r="N802" s="77"/>
    </row>
    <row r="803" spans="4:14" ht="16.5" customHeight="1">
      <c r="D803" s="75"/>
      <c r="E803" s="75"/>
      <c r="F803" s="75"/>
      <c r="G803" s="75"/>
      <c r="L803" s="76"/>
      <c r="N803" s="77"/>
    </row>
    <row r="804" spans="4:14" ht="16.5" customHeight="1">
      <c r="D804" s="75"/>
      <c r="E804" s="75"/>
      <c r="F804" s="75"/>
      <c r="G804" s="75"/>
      <c r="L804" s="76"/>
      <c r="N804" s="77"/>
    </row>
    <row r="805" spans="4:14" ht="16.5" customHeight="1">
      <c r="D805" s="75"/>
      <c r="E805" s="75"/>
      <c r="F805" s="75"/>
      <c r="G805" s="75"/>
      <c r="L805" s="76"/>
      <c r="N805" s="77"/>
    </row>
    <row r="806" spans="4:14" ht="16.5" customHeight="1">
      <c r="D806" s="75"/>
      <c r="E806" s="75"/>
      <c r="F806" s="75"/>
      <c r="G806" s="75"/>
      <c r="L806" s="76"/>
      <c r="N806" s="77"/>
    </row>
    <row r="807" spans="4:14" ht="16.5" customHeight="1">
      <c r="D807" s="75"/>
      <c r="E807" s="75"/>
      <c r="F807" s="75"/>
      <c r="G807" s="75"/>
      <c r="L807" s="76"/>
      <c r="N807" s="77"/>
    </row>
    <row r="808" spans="4:14" ht="16.5" customHeight="1">
      <c r="D808" s="75"/>
      <c r="E808" s="75"/>
      <c r="F808" s="75"/>
      <c r="G808" s="75"/>
      <c r="L808" s="76"/>
      <c r="N808" s="77"/>
    </row>
    <row r="809" spans="4:14" ht="16.5" customHeight="1">
      <c r="D809" s="75"/>
      <c r="E809" s="75"/>
      <c r="F809" s="75"/>
      <c r="G809" s="75"/>
      <c r="L809" s="76"/>
      <c r="N809" s="77"/>
    </row>
    <row r="810" spans="4:14" ht="16.5" customHeight="1">
      <c r="D810" s="75"/>
      <c r="E810" s="75"/>
      <c r="F810" s="75"/>
      <c r="G810" s="75"/>
      <c r="L810" s="76"/>
      <c r="N810" s="77"/>
    </row>
    <row r="811" spans="4:14" ht="16.5" customHeight="1">
      <c r="D811" s="75"/>
      <c r="E811" s="75"/>
      <c r="F811" s="75"/>
      <c r="G811" s="75"/>
      <c r="L811" s="76"/>
      <c r="N811" s="77"/>
    </row>
    <row r="812" spans="4:14" ht="16.5" customHeight="1">
      <c r="D812" s="75"/>
      <c r="E812" s="75"/>
      <c r="F812" s="75"/>
      <c r="G812" s="75"/>
      <c r="L812" s="76"/>
      <c r="N812" s="77"/>
    </row>
    <row r="813" spans="4:14" ht="16.5" customHeight="1">
      <c r="D813" s="75"/>
      <c r="E813" s="75"/>
      <c r="F813" s="75"/>
      <c r="G813" s="75"/>
      <c r="L813" s="76"/>
      <c r="N813" s="77"/>
    </row>
    <row r="814" spans="4:14" ht="16.5" customHeight="1">
      <c r="D814" s="75"/>
      <c r="E814" s="75"/>
      <c r="F814" s="75"/>
      <c r="G814" s="75"/>
      <c r="L814" s="76"/>
      <c r="N814" s="77"/>
    </row>
    <row r="815" spans="4:14" ht="16.5" customHeight="1">
      <c r="D815" s="75"/>
      <c r="E815" s="75"/>
      <c r="F815" s="75"/>
      <c r="G815" s="75"/>
      <c r="L815" s="76"/>
      <c r="N815" s="77"/>
    </row>
    <row r="816" spans="4:14" ht="16.5" customHeight="1">
      <c r="D816" s="75"/>
      <c r="E816" s="75"/>
      <c r="F816" s="75"/>
      <c r="G816" s="75"/>
      <c r="L816" s="76"/>
      <c r="N816" s="77"/>
    </row>
    <row r="817" spans="4:14" ht="16.5" customHeight="1">
      <c r="D817" s="75"/>
      <c r="E817" s="75"/>
      <c r="F817" s="75"/>
      <c r="G817" s="75"/>
      <c r="L817" s="76"/>
      <c r="N817" s="77"/>
    </row>
    <row r="818" spans="4:14" ht="16.5" customHeight="1">
      <c r="D818" s="75"/>
      <c r="E818" s="75"/>
      <c r="F818" s="75"/>
      <c r="G818" s="75"/>
      <c r="L818" s="76"/>
      <c r="N818" s="77"/>
    </row>
    <row r="819" spans="4:14" ht="16.5" customHeight="1">
      <c r="D819" s="75"/>
      <c r="E819" s="75"/>
      <c r="F819" s="75"/>
      <c r="G819" s="75"/>
      <c r="L819" s="76"/>
      <c r="N819" s="77"/>
    </row>
    <row r="820" spans="4:14" ht="16.5" customHeight="1">
      <c r="D820" s="75"/>
      <c r="E820" s="75"/>
      <c r="F820" s="75"/>
      <c r="G820" s="75"/>
      <c r="L820" s="76"/>
      <c r="N820" s="77"/>
    </row>
    <row r="821" spans="4:14" ht="16.5" customHeight="1">
      <c r="D821" s="75"/>
      <c r="E821" s="75"/>
      <c r="F821" s="75"/>
      <c r="G821" s="75"/>
      <c r="L821" s="76"/>
      <c r="N821" s="77"/>
    </row>
    <row r="822" spans="4:14" ht="16.5" customHeight="1">
      <c r="D822" s="75"/>
      <c r="E822" s="75"/>
      <c r="F822" s="75"/>
      <c r="G822" s="75"/>
      <c r="L822" s="76"/>
      <c r="N822" s="77"/>
    </row>
    <row r="823" spans="4:14" ht="16.5" customHeight="1">
      <c r="D823" s="75"/>
      <c r="E823" s="75"/>
      <c r="F823" s="75"/>
      <c r="G823" s="75"/>
      <c r="L823" s="76"/>
      <c r="N823" s="77"/>
    </row>
    <row r="824" spans="4:14" ht="16.5" customHeight="1">
      <c r="D824" s="75"/>
      <c r="E824" s="75"/>
      <c r="F824" s="75"/>
      <c r="G824" s="75"/>
      <c r="L824" s="76"/>
      <c r="N824" s="77"/>
    </row>
    <row r="825" spans="4:14" ht="16.5" customHeight="1">
      <c r="D825" s="75"/>
      <c r="E825" s="75"/>
      <c r="F825" s="75"/>
      <c r="G825" s="75"/>
      <c r="L825" s="76"/>
      <c r="N825" s="77"/>
    </row>
    <row r="826" spans="4:14" ht="16.5" customHeight="1">
      <c r="D826" s="75"/>
      <c r="E826" s="75"/>
      <c r="F826" s="75"/>
      <c r="G826" s="75"/>
      <c r="L826" s="76"/>
      <c r="N826" s="77"/>
    </row>
    <row r="827" spans="4:14" ht="16.5" customHeight="1">
      <c r="D827" s="75"/>
      <c r="E827" s="75"/>
      <c r="F827" s="75"/>
      <c r="G827" s="75"/>
      <c r="L827" s="76"/>
      <c r="N827" s="77"/>
    </row>
    <row r="828" spans="4:14" ht="16.5" customHeight="1">
      <c r="D828" s="75"/>
      <c r="E828" s="75"/>
      <c r="F828" s="75"/>
      <c r="G828" s="75"/>
      <c r="L828" s="76"/>
      <c r="N828" s="77"/>
    </row>
    <row r="829" spans="4:14" ht="16.5" customHeight="1">
      <c r="D829" s="75"/>
      <c r="E829" s="75"/>
      <c r="F829" s="75"/>
      <c r="G829" s="75"/>
      <c r="L829" s="76"/>
      <c r="N829" s="77"/>
    </row>
    <row r="830" spans="4:14" ht="16.5" customHeight="1">
      <c r="D830" s="75"/>
      <c r="E830" s="75"/>
      <c r="F830" s="75"/>
      <c r="G830" s="75"/>
      <c r="L830" s="76"/>
      <c r="N830" s="77"/>
    </row>
    <row r="831" spans="4:14" ht="16.5" customHeight="1">
      <c r="D831" s="75"/>
      <c r="E831" s="75"/>
      <c r="F831" s="75"/>
      <c r="G831" s="75"/>
      <c r="L831" s="76"/>
      <c r="N831" s="77"/>
    </row>
    <row r="832" spans="4:14" ht="16.5" customHeight="1">
      <c r="D832" s="75"/>
      <c r="E832" s="75"/>
      <c r="F832" s="75"/>
      <c r="G832" s="75"/>
      <c r="L832" s="76"/>
      <c r="N832" s="77"/>
    </row>
    <row r="833" spans="4:14" ht="16.5" customHeight="1">
      <c r="D833" s="75"/>
      <c r="E833" s="75"/>
      <c r="F833" s="75"/>
      <c r="G833" s="75"/>
      <c r="L833" s="76"/>
      <c r="N833" s="77"/>
    </row>
    <row r="834" spans="4:14" ht="16.5" customHeight="1">
      <c r="D834" s="75"/>
      <c r="E834" s="75"/>
      <c r="F834" s="75"/>
      <c r="G834" s="75"/>
      <c r="L834" s="76"/>
      <c r="N834" s="77"/>
    </row>
    <row r="835" spans="4:14" ht="16.5" customHeight="1">
      <c r="D835" s="75"/>
      <c r="E835" s="75"/>
      <c r="F835" s="75"/>
      <c r="G835" s="75"/>
      <c r="L835" s="76"/>
      <c r="N835" s="77"/>
    </row>
    <row r="836" spans="4:14" ht="16.5" customHeight="1">
      <c r="D836" s="75"/>
      <c r="E836" s="75"/>
      <c r="F836" s="75"/>
      <c r="G836" s="75"/>
      <c r="L836" s="76"/>
      <c r="N836" s="77"/>
    </row>
    <row r="837" spans="4:14" ht="16.5" customHeight="1">
      <c r="D837" s="75"/>
      <c r="E837" s="75"/>
      <c r="F837" s="75"/>
      <c r="G837" s="75"/>
      <c r="L837" s="76"/>
      <c r="N837" s="77"/>
    </row>
    <row r="838" spans="4:14" ht="16.5" customHeight="1">
      <c r="D838" s="75"/>
      <c r="E838" s="75"/>
      <c r="F838" s="75"/>
      <c r="G838" s="75"/>
      <c r="L838" s="76"/>
      <c r="N838" s="77"/>
    </row>
    <row r="839" spans="4:14" ht="16.5" customHeight="1">
      <c r="D839" s="75"/>
      <c r="E839" s="75"/>
      <c r="F839" s="75"/>
      <c r="G839" s="75"/>
      <c r="L839" s="76"/>
      <c r="N839" s="77"/>
    </row>
    <row r="840" spans="4:14" ht="16.5" customHeight="1">
      <c r="D840" s="75"/>
      <c r="E840" s="75"/>
      <c r="F840" s="75"/>
      <c r="G840" s="75"/>
      <c r="L840" s="76"/>
      <c r="N840" s="77"/>
    </row>
    <row r="841" spans="4:14" ht="16.5" customHeight="1">
      <c r="D841" s="75"/>
      <c r="E841" s="75"/>
      <c r="F841" s="75"/>
      <c r="G841" s="75"/>
      <c r="L841" s="76"/>
      <c r="N841" s="77"/>
    </row>
    <row r="842" spans="4:14" ht="16.5" customHeight="1">
      <c r="D842" s="75"/>
      <c r="E842" s="75"/>
      <c r="F842" s="75"/>
      <c r="G842" s="75"/>
      <c r="L842" s="76"/>
      <c r="N842" s="77"/>
    </row>
    <row r="843" spans="4:14" ht="16.5" customHeight="1">
      <c r="D843" s="75"/>
      <c r="E843" s="75"/>
      <c r="F843" s="75"/>
      <c r="G843" s="75"/>
      <c r="L843" s="76"/>
      <c r="N843" s="77"/>
    </row>
    <row r="844" spans="4:14" ht="16.5" customHeight="1">
      <c r="D844" s="75"/>
      <c r="E844" s="75"/>
      <c r="F844" s="75"/>
      <c r="G844" s="75"/>
      <c r="L844" s="76"/>
      <c r="N844" s="77"/>
    </row>
    <row r="845" spans="4:14" ht="16.5" customHeight="1">
      <c r="D845" s="75"/>
      <c r="E845" s="75"/>
      <c r="F845" s="75"/>
      <c r="G845" s="75"/>
      <c r="L845" s="76"/>
      <c r="N845" s="77"/>
    </row>
    <row r="846" spans="4:14" ht="16.5" customHeight="1">
      <c r="D846" s="75"/>
      <c r="E846" s="75"/>
      <c r="F846" s="75"/>
      <c r="G846" s="75"/>
      <c r="L846" s="76"/>
      <c r="N846" s="77"/>
    </row>
    <row r="847" spans="4:14" ht="16.5" customHeight="1">
      <c r="D847" s="75"/>
      <c r="E847" s="75"/>
      <c r="F847" s="75"/>
      <c r="G847" s="75"/>
      <c r="L847" s="76"/>
      <c r="N847" s="77"/>
    </row>
    <row r="848" spans="4:14" ht="16.5" customHeight="1">
      <c r="D848" s="75"/>
      <c r="E848" s="75"/>
      <c r="F848" s="75"/>
      <c r="G848" s="75"/>
      <c r="L848" s="76"/>
      <c r="N848" s="77"/>
    </row>
    <row r="849" spans="4:14" ht="16.5" customHeight="1">
      <c r="D849" s="75"/>
      <c r="E849" s="75"/>
      <c r="F849" s="75"/>
      <c r="G849" s="75"/>
      <c r="L849" s="76"/>
      <c r="N849" s="77"/>
    </row>
    <row r="850" spans="4:14" ht="16.5" customHeight="1">
      <c r="D850" s="75"/>
      <c r="E850" s="75"/>
      <c r="F850" s="75"/>
      <c r="G850" s="75"/>
      <c r="L850" s="76"/>
      <c r="N850" s="77"/>
    </row>
    <row r="851" spans="4:14" ht="16.5" customHeight="1">
      <c r="D851" s="75"/>
      <c r="E851" s="75"/>
      <c r="F851" s="75"/>
      <c r="G851" s="75"/>
      <c r="L851" s="76"/>
      <c r="N851" s="77"/>
    </row>
    <row r="852" spans="4:14" ht="16.5" customHeight="1">
      <c r="D852" s="75"/>
      <c r="E852" s="75"/>
      <c r="F852" s="75"/>
      <c r="G852" s="75"/>
      <c r="L852" s="76"/>
      <c r="N852" s="77"/>
    </row>
    <row r="853" spans="4:14" ht="16.5" customHeight="1">
      <c r="D853" s="75"/>
      <c r="E853" s="75"/>
      <c r="F853" s="75"/>
      <c r="G853" s="75"/>
      <c r="L853" s="76"/>
      <c r="N853" s="77"/>
    </row>
    <row r="854" spans="4:14" ht="16.5" customHeight="1">
      <c r="D854" s="75"/>
      <c r="E854" s="75"/>
      <c r="F854" s="75"/>
      <c r="G854" s="75"/>
      <c r="L854" s="76"/>
      <c r="N854" s="77"/>
    </row>
    <row r="855" spans="4:14" ht="16.5" customHeight="1">
      <c r="D855" s="75"/>
      <c r="E855" s="75"/>
      <c r="F855" s="75"/>
      <c r="G855" s="75"/>
      <c r="L855" s="76"/>
      <c r="N855" s="77"/>
    </row>
    <row r="856" spans="4:14" ht="16.5" customHeight="1">
      <c r="D856" s="75"/>
      <c r="E856" s="75"/>
      <c r="F856" s="75"/>
      <c r="G856" s="75"/>
      <c r="L856" s="76"/>
      <c r="N856" s="77"/>
    </row>
    <row r="857" spans="4:14" ht="16.5" customHeight="1">
      <c r="D857" s="75"/>
      <c r="E857" s="75"/>
      <c r="F857" s="75"/>
      <c r="G857" s="75"/>
      <c r="L857" s="76"/>
      <c r="N857" s="77"/>
    </row>
    <row r="858" spans="4:14" ht="16.5" customHeight="1">
      <c r="D858" s="75"/>
      <c r="E858" s="75"/>
      <c r="F858" s="75"/>
      <c r="G858" s="75"/>
      <c r="L858" s="76"/>
      <c r="N858" s="77"/>
    </row>
    <row r="859" spans="4:14" ht="16.5" customHeight="1">
      <c r="D859" s="75"/>
      <c r="E859" s="75"/>
      <c r="F859" s="75"/>
      <c r="G859" s="75"/>
      <c r="L859" s="76"/>
      <c r="N859" s="77"/>
    </row>
    <row r="860" spans="4:14" ht="16.5" customHeight="1">
      <c r="D860" s="75"/>
      <c r="E860" s="75"/>
      <c r="F860" s="75"/>
      <c r="G860" s="75"/>
      <c r="L860" s="76"/>
      <c r="N860" s="77"/>
    </row>
    <row r="861" spans="4:14" ht="16.5" customHeight="1">
      <c r="D861" s="75"/>
      <c r="E861" s="75"/>
      <c r="F861" s="75"/>
      <c r="G861" s="75"/>
      <c r="L861" s="76"/>
      <c r="N861" s="77"/>
    </row>
    <row r="862" spans="4:14" ht="16.5" customHeight="1">
      <c r="D862" s="75"/>
      <c r="E862" s="75"/>
      <c r="F862" s="75"/>
      <c r="G862" s="75"/>
      <c r="L862" s="76"/>
      <c r="N862" s="77"/>
    </row>
    <row r="863" spans="4:14" ht="16.5" customHeight="1">
      <c r="D863" s="75"/>
      <c r="E863" s="75"/>
      <c r="F863" s="75"/>
      <c r="G863" s="75"/>
      <c r="L863" s="76"/>
      <c r="N863" s="77"/>
    </row>
    <row r="864" spans="4:14" ht="16.5" customHeight="1">
      <c r="D864" s="75"/>
      <c r="E864" s="75"/>
      <c r="F864" s="75"/>
      <c r="G864" s="75"/>
      <c r="L864" s="76"/>
      <c r="N864" s="77"/>
    </row>
    <row r="865" spans="4:14" ht="16.5" customHeight="1">
      <c r="D865" s="75"/>
      <c r="E865" s="75"/>
      <c r="F865" s="75"/>
      <c r="G865" s="75"/>
      <c r="L865" s="76"/>
      <c r="N865" s="77"/>
    </row>
    <row r="866" spans="4:14" ht="16.5" customHeight="1">
      <c r="D866" s="75"/>
      <c r="E866" s="75"/>
      <c r="F866" s="75"/>
      <c r="G866" s="75"/>
      <c r="L866" s="76"/>
      <c r="N866" s="77"/>
    </row>
    <row r="867" spans="4:14" ht="16.5" customHeight="1">
      <c r="D867" s="75"/>
      <c r="E867" s="75"/>
      <c r="F867" s="75"/>
      <c r="G867" s="75"/>
      <c r="L867" s="76"/>
      <c r="N867" s="77"/>
    </row>
    <row r="868" spans="4:14" ht="16.5" customHeight="1">
      <c r="D868" s="75"/>
      <c r="E868" s="75"/>
      <c r="F868" s="75"/>
      <c r="G868" s="75"/>
      <c r="L868" s="76"/>
      <c r="N868" s="77"/>
    </row>
    <row r="869" spans="4:14" ht="16.5" customHeight="1">
      <c r="D869" s="75"/>
      <c r="E869" s="75"/>
      <c r="F869" s="75"/>
      <c r="G869" s="75"/>
      <c r="L869" s="76"/>
      <c r="N869" s="77"/>
    </row>
    <row r="870" spans="4:14" ht="16.5" customHeight="1">
      <c r="D870" s="75"/>
      <c r="E870" s="75"/>
      <c r="F870" s="75"/>
      <c r="G870" s="75"/>
      <c r="L870" s="76"/>
      <c r="N870" s="77"/>
    </row>
    <row r="871" spans="4:14" ht="16.5" customHeight="1">
      <c r="D871" s="75"/>
      <c r="E871" s="75"/>
      <c r="F871" s="75"/>
      <c r="G871" s="75"/>
      <c r="L871" s="76"/>
      <c r="N871" s="77"/>
    </row>
    <row r="872" spans="4:14" ht="16.5" customHeight="1">
      <c r="D872" s="75"/>
      <c r="E872" s="75"/>
      <c r="F872" s="75"/>
      <c r="G872" s="75"/>
      <c r="L872" s="76"/>
      <c r="N872" s="77"/>
    </row>
    <row r="873" spans="4:14" ht="16.5" customHeight="1">
      <c r="D873" s="75"/>
      <c r="E873" s="75"/>
      <c r="F873" s="75"/>
      <c r="G873" s="75"/>
      <c r="L873" s="76"/>
      <c r="N873" s="77"/>
    </row>
    <row r="874" spans="4:14" ht="16.5" customHeight="1">
      <c r="D874" s="75"/>
      <c r="E874" s="75"/>
      <c r="F874" s="75"/>
      <c r="G874" s="75"/>
      <c r="L874" s="76"/>
      <c r="N874" s="77"/>
    </row>
    <row r="875" spans="4:14" ht="16.5" customHeight="1">
      <c r="D875" s="75"/>
      <c r="E875" s="75"/>
      <c r="F875" s="75"/>
      <c r="G875" s="75"/>
      <c r="L875" s="76"/>
      <c r="N875" s="77"/>
    </row>
    <row r="876" spans="4:14" ht="16.5" customHeight="1">
      <c r="D876" s="75"/>
      <c r="E876" s="75"/>
      <c r="F876" s="75"/>
      <c r="G876" s="75"/>
      <c r="L876" s="76"/>
      <c r="N876" s="77"/>
    </row>
    <row r="877" spans="4:14" ht="16.5" customHeight="1">
      <c r="D877" s="75"/>
      <c r="E877" s="75"/>
      <c r="F877" s="75"/>
      <c r="G877" s="75"/>
      <c r="L877" s="76"/>
      <c r="N877" s="77"/>
    </row>
    <row r="878" spans="4:14" ht="16.5" customHeight="1">
      <c r="D878" s="75"/>
      <c r="E878" s="75"/>
      <c r="F878" s="75"/>
      <c r="G878" s="75"/>
      <c r="L878" s="76"/>
      <c r="N878" s="77"/>
    </row>
    <row r="879" spans="4:14" ht="16.5" customHeight="1">
      <c r="D879" s="75"/>
      <c r="E879" s="75"/>
      <c r="F879" s="75"/>
      <c r="G879" s="75"/>
      <c r="L879" s="76"/>
      <c r="N879" s="77"/>
    </row>
    <row r="880" spans="4:14" ht="16.5" customHeight="1">
      <c r="D880" s="75"/>
      <c r="E880" s="75"/>
      <c r="F880" s="75"/>
      <c r="G880" s="75"/>
      <c r="L880" s="76"/>
      <c r="N880" s="77"/>
    </row>
    <row r="881" spans="4:14" ht="16.5" customHeight="1">
      <c r="D881" s="75"/>
      <c r="E881" s="75"/>
      <c r="F881" s="75"/>
      <c r="G881" s="75"/>
      <c r="L881" s="76"/>
      <c r="N881" s="77"/>
    </row>
    <row r="882" spans="4:14" ht="16.5" customHeight="1">
      <c r="D882" s="75"/>
      <c r="E882" s="75"/>
      <c r="F882" s="75"/>
      <c r="G882" s="75"/>
      <c r="L882" s="76"/>
      <c r="N882" s="77"/>
    </row>
    <row r="883" spans="4:14" ht="16.5" customHeight="1">
      <c r="D883" s="75"/>
      <c r="E883" s="75"/>
      <c r="F883" s="75"/>
      <c r="G883" s="75"/>
      <c r="L883" s="76"/>
      <c r="N883" s="77"/>
    </row>
    <row r="884" spans="4:14" ht="16.5" customHeight="1">
      <c r="D884" s="75"/>
      <c r="E884" s="75"/>
      <c r="F884" s="75"/>
      <c r="G884" s="75"/>
      <c r="L884" s="76"/>
      <c r="N884" s="77"/>
    </row>
    <row r="885" spans="4:14" ht="16.5" customHeight="1">
      <c r="D885" s="75"/>
      <c r="E885" s="75"/>
      <c r="F885" s="75"/>
      <c r="G885" s="75"/>
      <c r="L885" s="76"/>
      <c r="N885" s="77"/>
    </row>
    <row r="886" spans="4:14" ht="16.5" customHeight="1">
      <c r="D886" s="75"/>
      <c r="E886" s="75"/>
      <c r="F886" s="75"/>
      <c r="G886" s="75"/>
      <c r="L886" s="76"/>
      <c r="N886" s="77"/>
    </row>
    <row r="887" spans="4:14" ht="16.5" customHeight="1">
      <c r="D887" s="75"/>
      <c r="E887" s="75"/>
      <c r="F887" s="75"/>
      <c r="G887" s="75"/>
      <c r="L887" s="76"/>
      <c r="N887" s="77"/>
    </row>
    <row r="888" spans="4:14" ht="16.5" customHeight="1">
      <c r="D888" s="75"/>
      <c r="E888" s="75"/>
      <c r="F888" s="75"/>
      <c r="G888" s="75"/>
      <c r="L888" s="76"/>
      <c r="N888" s="77"/>
    </row>
    <row r="889" spans="4:14" ht="16.5" customHeight="1">
      <c r="D889" s="75"/>
      <c r="E889" s="75"/>
      <c r="F889" s="75"/>
      <c r="G889" s="75"/>
      <c r="L889" s="76"/>
      <c r="N889" s="77"/>
    </row>
    <row r="890" spans="4:14" ht="16.5" customHeight="1">
      <c r="D890" s="75"/>
      <c r="E890" s="75"/>
      <c r="F890" s="75"/>
      <c r="G890" s="75"/>
      <c r="L890" s="76"/>
      <c r="N890" s="77"/>
    </row>
    <row r="891" spans="4:14" ht="16.5" customHeight="1">
      <c r="D891" s="75"/>
      <c r="E891" s="75"/>
      <c r="F891" s="75"/>
      <c r="G891" s="75"/>
      <c r="L891" s="76"/>
      <c r="N891" s="77"/>
    </row>
    <row r="892" spans="4:14" ht="16.5" customHeight="1">
      <c r="D892" s="75"/>
      <c r="E892" s="75"/>
      <c r="F892" s="75"/>
      <c r="G892" s="75"/>
      <c r="L892" s="76"/>
      <c r="N892" s="77"/>
    </row>
    <row r="893" spans="4:14" ht="16.5" customHeight="1">
      <c r="D893" s="75"/>
      <c r="E893" s="75"/>
      <c r="F893" s="75"/>
      <c r="G893" s="75"/>
      <c r="L893" s="76"/>
      <c r="N893" s="77"/>
    </row>
    <row r="894" spans="4:14" ht="16.5" customHeight="1">
      <c r="D894" s="75"/>
      <c r="E894" s="75"/>
      <c r="F894" s="75"/>
      <c r="G894" s="75"/>
      <c r="L894" s="76"/>
      <c r="N894" s="77"/>
    </row>
    <row r="895" spans="4:14" ht="16.5" customHeight="1">
      <c r="D895" s="75"/>
      <c r="E895" s="75"/>
      <c r="F895" s="75"/>
      <c r="G895" s="75"/>
      <c r="L895" s="76"/>
      <c r="N895" s="77"/>
    </row>
    <row r="896" spans="4:14" ht="16.5" customHeight="1">
      <c r="D896" s="75"/>
      <c r="E896" s="75"/>
      <c r="F896" s="75"/>
      <c r="G896" s="75"/>
      <c r="L896" s="76"/>
      <c r="N896" s="77"/>
    </row>
    <row r="897" spans="4:14" ht="16.5" customHeight="1">
      <c r="D897" s="75"/>
      <c r="E897" s="75"/>
      <c r="F897" s="75"/>
      <c r="G897" s="75"/>
      <c r="L897" s="76"/>
      <c r="N897" s="77"/>
    </row>
    <row r="898" spans="4:14" ht="16.5" customHeight="1">
      <c r="D898" s="75"/>
      <c r="E898" s="75"/>
      <c r="F898" s="75"/>
      <c r="G898" s="75"/>
      <c r="L898" s="76"/>
      <c r="N898" s="77"/>
    </row>
    <row r="899" spans="4:14" ht="16.5" customHeight="1">
      <c r="D899" s="75"/>
      <c r="E899" s="75"/>
      <c r="F899" s="75"/>
      <c r="G899" s="75"/>
      <c r="L899" s="76"/>
      <c r="N899" s="77"/>
    </row>
    <row r="900" spans="4:14" ht="16.5" customHeight="1">
      <c r="D900" s="75"/>
      <c r="E900" s="75"/>
      <c r="F900" s="75"/>
      <c r="G900" s="75"/>
      <c r="L900" s="76"/>
      <c r="N900" s="77"/>
    </row>
    <row r="901" spans="4:14" ht="16.5" customHeight="1">
      <c r="D901" s="75"/>
      <c r="E901" s="75"/>
      <c r="F901" s="75"/>
      <c r="G901" s="75"/>
      <c r="L901" s="76"/>
      <c r="N901" s="77"/>
    </row>
    <row r="902" spans="4:14" ht="16.5" customHeight="1">
      <c r="D902" s="75"/>
      <c r="E902" s="75"/>
      <c r="F902" s="75"/>
      <c r="G902" s="75"/>
      <c r="L902" s="76"/>
      <c r="N902" s="77"/>
    </row>
    <row r="903" spans="4:14" ht="16.5" customHeight="1">
      <c r="D903" s="75"/>
      <c r="E903" s="75"/>
      <c r="F903" s="75"/>
      <c r="G903" s="75"/>
      <c r="L903" s="76"/>
      <c r="N903" s="77"/>
    </row>
    <row r="904" spans="4:14" ht="16.5" customHeight="1">
      <c r="D904" s="75"/>
      <c r="E904" s="75"/>
      <c r="F904" s="75"/>
      <c r="G904" s="75"/>
      <c r="L904" s="76"/>
      <c r="N904" s="77"/>
    </row>
    <row r="905" spans="4:14" ht="16.5" customHeight="1">
      <c r="D905" s="75"/>
      <c r="E905" s="75"/>
      <c r="F905" s="75"/>
      <c r="G905" s="75"/>
      <c r="L905" s="76"/>
      <c r="N905" s="77"/>
    </row>
    <row r="906" spans="4:14" ht="16.5" customHeight="1">
      <c r="D906" s="75"/>
      <c r="E906" s="75"/>
      <c r="F906" s="75"/>
      <c r="G906" s="75"/>
      <c r="L906" s="76"/>
      <c r="N906" s="77"/>
    </row>
    <row r="907" spans="4:14" ht="16.5" customHeight="1">
      <c r="D907" s="75"/>
      <c r="E907" s="75"/>
      <c r="F907" s="75"/>
      <c r="G907" s="75"/>
      <c r="L907" s="76"/>
      <c r="N907" s="77"/>
    </row>
    <row r="908" spans="4:14" ht="16.5" customHeight="1">
      <c r="D908" s="75"/>
      <c r="E908" s="75"/>
      <c r="F908" s="75"/>
      <c r="G908" s="75"/>
      <c r="L908" s="76"/>
      <c r="N908" s="77"/>
    </row>
    <row r="909" spans="4:14" ht="16.5" customHeight="1">
      <c r="D909" s="75"/>
      <c r="E909" s="75"/>
      <c r="F909" s="75"/>
      <c r="G909" s="75"/>
      <c r="L909" s="76"/>
      <c r="N909" s="77"/>
    </row>
    <row r="910" spans="4:14" ht="16.5" customHeight="1">
      <c r="D910" s="75"/>
      <c r="E910" s="75"/>
      <c r="F910" s="75"/>
      <c r="G910" s="75"/>
      <c r="L910" s="76"/>
      <c r="N910" s="77"/>
    </row>
    <row r="911" spans="4:14" ht="16.5" customHeight="1">
      <c r="D911" s="75"/>
      <c r="E911" s="75"/>
      <c r="F911" s="75"/>
      <c r="G911" s="75"/>
      <c r="L911" s="76"/>
      <c r="N911" s="77"/>
    </row>
    <row r="912" spans="4:14" ht="16.5" customHeight="1">
      <c r="D912" s="75"/>
      <c r="E912" s="75"/>
      <c r="F912" s="75"/>
      <c r="G912" s="75"/>
      <c r="L912" s="76"/>
      <c r="N912" s="77"/>
    </row>
    <row r="913" spans="4:14" ht="16.5" customHeight="1">
      <c r="D913" s="75"/>
      <c r="E913" s="75"/>
      <c r="F913" s="75"/>
      <c r="G913" s="75"/>
      <c r="L913" s="76"/>
      <c r="N913" s="77"/>
    </row>
    <row r="914" spans="4:14" ht="16.5" customHeight="1">
      <c r="D914" s="75"/>
      <c r="E914" s="75"/>
      <c r="F914" s="75"/>
      <c r="G914" s="75"/>
      <c r="L914" s="76"/>
      <c r="N914" s="77"/>
    </row>
    <row r="915" spans="4:14" ht="16.5" customHeight="1">
      <c r="D915" s="75"/>
      <c r="E915" s="75"/>
      <c r="F915" s="75"/>
      <c r="G915" s="75"/>
      <c r="L915" s="76"/>
      <c r="N915" s="77"/>
    </row>
    <row r="916" spans="4:14" ht="16.5" customHeight="1">
      <c r="D916" s="75"/>
      <c r="E916" s="75"/>
      <c r="F916" s="75"/>
      <c r="G916" s="75"/>
      <c r="L916" s="76"/>
      <c r="N916" s="77"/>
    </row>
    <row r="917" spans="4:14" ht="16.5" customHeight="1">
      <c r="D917" s="75"/>
      <c r="E917" s="75"/>
      <c r="F917" s="75"/>
      <c r="G917" s="75"/>
      <c r="L917" s="76"/>
      <c r="N917" s="77"/>
    </row>
    <row r="918" spans="4:14" ht="16.5" customHeight="1">
      <c r="D918" s="75"/>
      <c r="E918" s="75"/>
      <c r="F918" s="75"/>
      <c r="G918" s="75"/>
      <c r="L918" s="76"/>
      <c r="N918" s="77"/>
    </row>
    <row r="919" spans="4:14" ht="16.5" customHeight="1">
      <c r="D919" s="75"/>
      <c r="E919" s="75"/>
      <c r="F919" s="75"/>
      <c r="G919" s="75"/>
      <c r="L919" s="76"/>
      <c r="N919" s="77"/>
    </row>
    <row r="920" spans="4:14" ht="16.5" customHeight="1">
      <c r="D920" s="75"/>
      <c r="E920" s="75"/>
      <c r="F920" s="75"/>
      <c r="G920" s="75"/>
      <c r="L920" s="76"/>
      <c r="N920" s="77"/>
    </row>
    <row r="921" spans="4:14" ht="16.5" customHeight="1">
      <c r="D921" s="75"/>
      <c r="E921" s="75"/>
      <c r="F921" s="75"/>
      <c r="G921" s="75"/>
      <c r="L921" s="76"/>
      <c r="N921" s="77"/>
    </row>
    <row r="922" spans="4:14" ht="16.5" customHeight="1">
      <c r="D922" s="75"/>
      <c r="E922" s="75"/>
      <c r="F922" s="75"/>
      <c r="G922" s="75"/>
      <c r="L922" s="76"/>
      <c r="N922" s="77"/>
    </row>
    <row r="923" spans="4:14" ht="16.5" customHeight="1">
      <c r="D923" s="75"/>
      <c r="E923" s="75"/>
      <c r="F923" s="75"/>
      <c r="G923" s="75"/>
      <c r="L923" s="76"/>
      <c r="N923" s="77"/>
    </row>
    <row r="924" spans="4:14" ht="16.5" customHeight="1">
      <c r="D924" s="75"/>
      <c r="E924" s="75"/>
      <c r="F924" s="75"/>
      <c r="G924" s="75"/>
      <c r="L924" s="76"/>
      <c r="N924" s="77"/>
    </row>
    <row r="925" spans="4:14" ht="16.5" customHeight="1">
      <c r="D925" s="75"/>
      <c r="E925" s="75"/>
      <c r="F925" s="75"/>
      <c r="G925" s="75"/>
      <c r="L925" s="76"/>
      <c r="N925" s="77"/>
    </row>
    <row r="926" spans="4:14" ht="16.5" customHeight="1">
      <c r="D926" s="75"/>
      <c r="E926" s="75"/>
      <c r="F926" s="75"/>
      <c r="G926" s="75"/>
      <c r="L926" s="76"/>
      <c r="N926" s="77"/>
    </row>
    <row r="927" spans="4:14" ht="16.5" customHeight="1">
      <c r="D927" s="75"/>
      <c r="E927" s="75"/>
      <c r="F927" s="75"/>
      <c r="G927" s="75"/>
      <c r="L927" s="76"/>
      <c r="N927" s="77"/>
    </row>
    <row r="928" spans="4:14" ht="16.5" customHeight="1">
      <c r="D928" s="75"/>
      <c r="E928" s="75"/>
      <c r="F928" s="75"/>
      <c r="G928" s="75"/>
      <c r="L928" s="76"/>
      <c r="N928" s="77"/>
    </row>
    <row r="929" spans="4:14" ht="16.5" customHeight="1">
      <c r="D929" s="75"/>
      <c r="E929" s="75"/>
      <c r="F929" s="75"/>
      <c r="G929" s="75"/>
      <c r="L929" s="76"/>
      <c r="N929" s="77"/>
    </row>
    <row r="930" spans="4:14" ht="16.5" customHeight="1">
      <c r="D930" s="75"/>
      <c r="E930" s="75"/>
      <c r="F930" s="75"/>
      <c r="G930" s="75"/>
      <c r="L930" s="76"/>
      <c r="N930" s="77"/>
    </row>
    <row r="931" spans="4:14" ht="16.5" customHeight="1">
      <c r="D931" s="75"/>
      <c r="E931" s="75"/>
      <c r="F931" s="75"/>
      <c r="G931" s="75"/>
      <c r="L931" s="76"/>
      <c r="N931" s="77"/>
    </row>
    <row r="932" spans="4:14" ht="16.5" customHeight="1">
      <c r="D932" s="75"/>
      <c r="E932" s="75"/>
      <c r="F932" s="75"/>
      <c r="G932" s="75"/>
      <c r="L932" s="76"/>
      <c r="N932" s="77"/>
    </row>
    <row r="933" spans="4:14" ht="16.5" customHeight="1">
      <c r="D933" s="75"/>
      <c r="E933" s="75"/>
      <c r="F933" s="75"/>
      <c r="G933" s="75"/>
      <c r="L933" s="76"/>
      <c r="N933" s="77"/>
    </row>
    <row r="934" spans="4:14" ht="16.5" customHeight="1">
      <c r="D934" s="75"/>
      <c r="E934" s="75"/>
      <c r="F934" s="75"/>
      <c r="G934" s="75"/>
      <c r="L934" s="76"/>
      <c r="N934" s="77"/>
    </row>
    <row r="935" spans="4:14" ht="16.5" customHeight="1">
      <c r="D935" s="75"/>
      <c r="E935" s="75"/>
      <c r="F935" s="75"/>
      <c r="G935" s="75"/>
      <c r="L935" s="76"/>
      <c r="N935" s="77"/>
    </row>
    <row r="936" spans="4:14" ht="16.5" customHeight="1">
      <c r="D936" s="75"/>
      <c r="E936" s="75"/>
      <c r="F936" s="75"/>
      <c r="G936" s="75"/>
      <c r="L936" s="76"/>
      <c r="N936" s="77"/>
    </row>
    <row r="937" spans="4:14" ht="16.5" customHeight="1">
      <c r="D937" s="75"/>
      <c r="E937" s="75"/>
      <c r="F937" s="75"/>
      <c r="G937" s="75"/>
      <c r="L937" s="76"/>
      <c r="N937" s="77"/>
    </row>
    <row r="938" spans="4:14" ht="16.5" customHeight="1">
      <c r="D938" s="75"/>
      <c r="E938" s="75"/>
      <c r="F938" s="75"/>
      <c r="G938" s="75"/>
      <c r="L938" s="76"/>
      <c r="N938" s="77"/>
    </row>
    <row r="939" spans="4:14" ht="16.5" customHeight="1">
      <c r="D939" s="75"/>
      <c r="E939" s="75"/>
      <c r="F939" s="75"/>
      <c r="G939" s="75"/>
      <c r="L939" s="76"/>
      <c r="N939" s="77"/>
    </row>
    <row r="940" spans="4:14" ht="16.5" customHeight="1">
      <c r="D940" s="75"/>
      <c r="E940" s="75"/>
      <c r="F940" s="75"/>
      <c r="G940" s="75"/>
      <c r="L940" s="76"/>
      <c r="N940" s="77"/>
    </row>
    <row r="941" spans="4:14" ht="16.5" customHeight="1">
      <c r="D941" s="75"/>
      <c r="E941" s="75"/>
      <c r="F941" s="75"/>
      <c r="G941" s="75"/>
      <c r="L941" s="76"/>
      <c r="N941" s="77"/>
    </row>
    <row r="942" spans="4:14" ht="16.5" customHeight="1">
      <c r="D942" s="75"/>
      <c r="E942" s="75"/>
      <c r="F942" s="75"/>
      <c r="G942" s="75"/>
      <c r="L942" s="76"/>
      <c r="N942" s="77"/>
    </row>
    <row r="943" spans="4:14" ht="16.5" customHeight="1">
      <c r="D943" s="75"/>
      <c r="E943" s="75"/>
      <c r="F943" s="75"/>
      <c r="G943" s="75"/>
      <c r="L943" s="76"/>
      <c r="N943" s="77"/>
    </row>
    <row r="944" spans="4:14" ht="16.5" customHeight="1">
      <c r="D944" s="75"/>
      <c r="E944" s="75"/>
      <c r="F944" s="75"/>
      <c r="G944" s="75"/>
      <c r="L944" s="76"/>
      <c r="N944" s="77"/>
    </row>
    <row r="945" spans="4:14" ht="16.5" customHeight="1">
      <c r="D945" s="75"/>
      <c r="E945" s="75"/>
      <c r="F945" s="75"/>
      <c r="G945" s="75"/>
      <c r="L945" s="76"/>
      <c r="N945" s="77"/>
    </row>
    <row r="946" spans="4:14" ht="16.5" customHeight="1">
      <c r="D946" s="75"/>
      <c r="E946" s="75"/>
      <c r="F946" s="75"/>
      <c r="G946" s="75"/>
      <c r="L946" s="76"/>
      <c r="N946" s="77"/>
    </row>
    <row r="947" spans="4:14" ht="16.5" customHeight="1">
      <c r="D947" s="75"/>
      <c r="E947" s="75"/>
      <c r="F947" s="75"/>
      <c r="G947" s="75"/>
      <c r="L947" s="76"/>
      <c r="N947" s="77"/>
    </row>
    <row r="948" spans="4:14" ht="16.5" customHeight="1">
      <c r="D948" s="75"/>
      <c r="E948" s="75"/>
      <c r="F948" s="75"/>
      <c r="G948" s="75"/>
      <c r="L948" s="76"/>
      <c r="N948" s="77"/>
    </row>
    <row r="949" spans="4:14" ht="16.5" customHeight="1">
      <c r="D949" s="75"/>
      <c r="E949" s="75"/>
      <c r="F949" s="75"/>
      <c r="G949" s="75"/>
      <c r="L949" s="76"/>
      <c r="N949" s="77"/>
    </row>
    <row r="950" spans="4:14" ht="16.5" customHeight="1">
      <c r="D950" s="75"/>
      <c r="E950" s="75"/>
      <c r="F950" s="75"/>
      <c r="G950" s="75"/>
      <c r="L950" s="76"/>
      <c r="N950" s="77"/>
    </row>
    <row r="951" spans="4:14" ht="16.5" customHeight="1">
      <c r="D951" s="75"/>
      <c r="E951" s="75"/>
      <c r="F951" s="75"/>
      <c r="G951" s="75"/>
      <c r="L951" s="76"/>
      <c r="N951" s="77"/>
    </row>
    <row r="952" spans="4:14" ht="16.5" customHeight="1">
      <c r="D952" s="75"/>
      <c r="E952" s="75"/>
      <c r="F952" s="75"/>
      <c r="G952" s="75"/>
      <c r="L952" s="76"/>
      <c r="N952" s="77"/>
    </row>
    <row r="953" spans="4:14" ht="16.5" customHeight="1">
      <c r="D953" s="75"/>
      <c r="E953" s="75"/>
      <c r="F953" s="75"/>
      <c r="G953" s="75"/>
      <c r="L953" s="76"/>
      <c r="N953" s="77"/>
    </row>
    <row r="954" spans="4:14" ht="16.5" customHeight="1">
      <c r="D954" s="75"/>
      <c r="E954" s="75"/>
      <c r="F954" s="75"/>
      <c r="G954" s="75"/>
      <c r="L954" s="76"/>
      <c r="N954" s="77"/>
    </row>
    <row r="955" spans="4:14" ht="16.5" customHeight="1">
      <c r="D955" s="75"/>
      <c r="E955" s="75"/>
      <c r="F955" s="75"/>
      <c r="G955" s="75"/>
      <c r="L955" s="76"/>
      <c r="N955" s="77"/>
    </row>
    <row r="956" spans="4:14" ht="16.5" customHeight="1">
      <c r="D956" s="75"/>
      <c r="E956" s="75"/>
      <c r="F956" s="75"/>
      <c r="G956" s="75"/>
      <c r="L956" s="76"/>
      <c r="N956" s="77"/>
    </row>
    <row r="957" spans="4:14" ht="16.5" customHeight="1">
      <c r="D957" s="75"/>
      <c r="E957" s="75"/>
      <c r="F957" s="75"/>
      <c r="G957" s="75"/>
      <c r="L957" s="76"/>
      <c r="N957" s="77"/>
    </row>
    <row r="958" spans="4:14" ht="16.5" customHeight="1">
      <c r="D958" s="75"/>
      <c r="E958" s="75"/>
      <c r="F958" s="75"/>
      <c r="G958" s="75"/>
      <c r="L958" s="76"/>
      <c r="N958" s="77"/>
    </row>
    <row r="959" spans="4:14" ht="16.5" customHeight="1">
      <c r="D959" s="75"/>
      <c r="E959" s="75"/>
      <c r="F959" s="75"/>
      <c r="G959" s="75"/>
      <c r="L959" s="76"/>
      <c r="N959" s="77"/>
    </row>
    <row r="960" spans="4:14" ht="16.5" customHeight="1">
      <c r="D960" s="75"/>
      <c r="E960" s="75"/>
      <c r="F960" s="75"/>
      <c r="G960" s="75"/>
      <c r="L960" s="76"/>
      <c r="N960" s="77"/>
    </row>
    <row r="961" spans="4:14" ht="16.5" customHeight="1">
      <c r="D961" s="75"/>
      <c r="E961" s="75"/>
      <c r="F961" s="75"/>
      <c r="G961" s="75"/>
      <c r="L961" s="76"/>
      <c r="N961" s="77"/>
    </row>
    <row r="962" spans="4:14" ht="16.5" customHeight="1">
      <c r="D962" s="75"/>
      <c r="E962" s="75"/>
      <c r="F962" s="75"/>
      <c r="G962" s="75"/>
      <c r="L962" s="76"/>
      <c r="N962" s="77"/>
    </row>
    <row r="963" spans="4:14" ht="16.5" customHeight="1">
      <c r="D963" s="75"/>
      <c r="E963" s="75"/>
      <c r="F963" s="75"/>
      <c r="G963" s="75"/>
      <c r="L963" s="76"/>
      <c r="N963" s="77"/>
    </row>
    <row r="964" spans="4:14" ht="16.5" customHeight="1">
      <c r="D964" s="75"/>
      <c r="E964" s="75"/>
      <c r="F964" s="75"/>
      <c r="G964" s="75"/>
      <c r="L964" s="76"/>
      <c r="N964" s="77"/>
    </row>
    <row r="965" spans="4:14" ht="16.5" customHeight="1">
      <c r="D965" s="75"/>
      <c r="E965" s="75"/>
      <c r="F965" s="75"/>
      <c r="G965" s="75"/>
      <c r="L965" s="76"/>
      <c r="N965" s="77"/>
    </row>
    <row r="966" spans="4:14" ht="16.5" customHeight="1">
      <c r="D966" s="75"/>
      <c r="E966" s="75"/>
      <c r="F966" s="75"/>
      <c r="G966" s="75"/>
      <c r="L966" s="76"/>
      <c r="N966" s="77"/>
    </row>
    <row r="967" spans="4:14" ht="16.5" customHeight="1">
      <c r="D967" s="75"/>
      <c r="E967" s="75"/>
      <c r="F967" s="75"/>
      <c r="G967" s="75"/>
      <c r="L967" s="76"/>
      <c r="N967" s="77"/>
    </row>
    <row r="968" spans="4:14" ht="16.5" customHeight="1">
      <c r="D968" s="75"/>
      <c r="E968" s="75"/>
      <c r="F968" s="75"/>
      <c r="G968" s="75"/>
      <c r="L968" s="76"/>
      <c r="N968" s="77"/>
    </row>
    <row r="969" spans="4:14" ht="16.5" customHeight="1">
      <c r="D969" s="75"/>
      <c r="E969" s="75"/>
      <c r="F969" s="75"/>
      <c r="G969" s="75"/>
      <c r="L969" s="76"/>
      <c r="N969" s="77"/>
    </row>
    <row r="970" spans="4:14" ht="16.5" customHeight="1">
      <c r="D970" s="75"/>
      <c r="E970" s="75"/>
      <c r="F970" s="75"/>
      <c r="G970" s="75"/>
      <c r="L970" s="76"/>
      <c r="N970" s="77"/>
    </row>
    <row r="971" spans="4:14" ht="16.5" customHeight="1">
      <c r="D971" s="75"/>
      <c r="E971" s="75"/>
      <c r="F971" s="75"/>
      <c r="G971" s="75"/>
      <c r="L971" s="76"/>
      <c r="N971" s="77"/>
    </row>
    <row r="972" spans="4:14" ht="16.5" customHeight="1">
      <c r="D972" s="75"/>
      <c r="E972" s="75"/>
      <c r="F972" s="75"/>
      <c r="G972" s="75"/>
      <c r="L972" s="76"/>
      <c r="N972" s="77"/>
    </row>
    <row r="973" spans="4:14" ht="16.5" customHeight="1">
      <c r="D973" s="75"/>
      <c r="E973" s="75"/>
      <c r="F973" s="75"/>
      <c r="G973" s="75"/>
      <c r="L973" s="76"/>
      <c r="N973" s="77"/>
    </row>
    <row r="974" spans="4:14" ht="16.5" customHeight="1">
      <c r="D974" s="75"/>
      <c r="E974" s="75"/>
      <c r="F974" s="75"/>
      <c r="G974" s="75"/>
      <c r="L974" s="76"/>
      <c r="N974" s="77"/>
    </row>
    <row r="975" spans="4:14" ht="16.5" customHeight="1">
      <c r="D975" s="75"/>
      <c r="E975" s="75"/>
      <c r="F975" s="75"/>
      <c r="G975" s="75"/>
      <c r="L975" s="76"/>
      <c r="N975" s="77"/>
    </row>
    <row r="976" spans="4:14" ht="16.5" customHeight="1">
      <c r="D976" s="75"/>
      <c r="E976" s="75"/>
      <c r="F976" s="75"/>
      <c r="G976" s="75"/>
      <c r="L976" s="76"/>
      <c r="N976" s="77"/>
    </row>
    <row r="977" spans="4:14" ht="16.5" customHeight="1">
      <c r="D977" s="75"/>
      <c r="E977" s="75"/>
      <c r="F977" s="75"/>
      <c r="G977" s="75"/>
      <c r="L977" s="76"/>
      <c r="N977" s="77"/>
    </row>
    <row r="978" spans="4:14" ht="16.5" customHeight="1">
      <c r="D978" s="75"/>
      <c r="E978" s="75"/>
      <c r="F978" s="75"/>
      <c r="G978" s="75"/>
      <c r="L978" s="76"/>
      <c r="N978" s="77"/>
    </row>
    <row r="979" spans="4:14" ht="16.5" customHeight="1">
      <c r="D979" s="75"/>
      <c r="E979" s="75"/>
      <c r="F979" s="75"/>
      <c r="G979" s="75"/>
      <c r="L979" s="76"/>
      <c r="N979" s="77"/>
    </row>
    <row r="980" spans="4:14" ht="16.5" customHeight="1">
      <c r="D980" s="75"/>
      <c r="E980" s="75"/>
      <c r="F980" s="75"/>
      <c r="G980" s="75"/>
      <c r="L980" s="76"/>
      <c r="N980" s="77"/>
    </row>
    <row r="981" spans="4:14" ht="16.5" customHeight="1">
      <c r="D981" s="75"/>
      <c r="E981" s="75"/>
      <c r="F981" s="75"/>
      <c r="G981" s="75"/>
      <c r="L981" s="76"/>
      <c r="N981" s="77"/>
    </row>
    <row r="982" spans="4:14" ht="16.5" customHeight="1">
      <c r="D982" s="75"/>
      <c r="E982" s="75"/>
      <c r="F982" s="75"/>
      <c r="G982" s="75"/>
      <c r="L982" s="76"/>
      <c r="N982" s="77"/>
    </row>
    <row r="983" spans="4:14" ht="16.5" customHeight="1">
      <c r="D983" s="75"/>
      <c r="E983" s="75"/>
      <c r="F983" s="75"/>
      <c r="G983" s="75"/>
      <c r="L983" s="76"/>
      <c r="N983" s="77"/>
    </row>
    <row r="984" spans="4:14" ht="16.5" customHeight="1">
      <c r="D984" s="75"/>
      <c r="E984" s="75"/>
      <c r="F984" s="75"/>
      <c r="G984" s="75"/>
      <c r="L984" s="76"/>
      <c r="N984" s="77"/>
    </row>
    <row r="985" spans="4:14" ht="16.5" customHeight="1">
      <c r="D985" s="75"/>
      <c r="E985" s="75"/>
      <c r="F985" s="75"/>
      <c r="G985" s="75"/>
      <c r="L985" s="76"/>
      <c r="N985" s="77"/>
    </row>
    <row r="986" spans="4:14" ht="16.5" customHeight="1">
      <c r="D986" s="75"/>
      <c r="E986" s="75"/>
      <c r="F986" s="75"/>
      <c r="G986" s="75"/>
      <c r="L986" s="76"/>
      <c r="N986" s="77"/>
    </row>
    <row r="987" spans="4:14" ht="16.5" customHeight="1">
      <c r="D987" s="75"/>
      <c r="E987" s="75"/>
      <c r="F987" s="75"/>
      <c r="G987" s="75"/>
      <c r="L987" s="76"/>
      <c r="N987" s="77"/>
    </row>
    <row r="988" spans="4:14" ht="16.5" customHeight="1">
      <c r="D988" s="75"/>
      <c r="E988" s="75"/>
      <c r="F988" s="75"/>
      <c r="G988" s="75"/>
      <c r="L988" s="76"/>
      <c r="N988" s="77"/>
    </row>
    <row r="989" spans="4:14" ht="16.5" customHeight="1">
      <c r="D989" s="75"/>
      <c r="E989" s="75"/>
      <c r="F989" s="75"/>
      <c r="G989" s="75"/>
      <c r="L989" s="76"/>
      <c r="N989" s="77"/>
    </row>
    <row r="990" spans="4:14" ht="16.5" customHeight="1">
      <c r="D990" s="75"/>
      <c r="E990" s="75"/>
      <c r="F990" s="75"/>
      <c r="G990" s="75"/>
      <c r="L990" s="76"/>
      <c r="N990" s="77"/>
    </row>
    <row r="991" spans="4:14" ht="16.5" customHeight="1">
      <c r="D991" s="75"/>
      <c r="E991" s="75"/>
      <c r="F991" s="75"/>
      <c r="G991" s="75"/>
      <c r="L991" s="76"/>
      <c r="N991" s="77"/>
    </row>
    <row r="992" spans="4:14" ht="16.5" customHeight="1">
      <c r="D992" s="75"/>
      <c r="E992" s="75"/>
      <c r="F992" s="75"/>
      <c r="G992" s="75"/>
      <c r="L992" s="76"/>
      <c r="N992" s="77"/>
    </row>
    <row r="993" spans="4:14" ht="16.5" customHeight="1">
      <c r="D993" s="75"/>
      <c r="E993" s="75"/>
      <c r="F993" s="75"/>
      <c r="G993" s="75"/>
      <c r="L993" s="76"/>
      <c r="N993" s="77"/>
    </row>
    <row r="994" spans="4:14" ht="16.5" customHeight="1">
      <c r="D994" s="75"/>
      <c r="E994" s="75"/>
      <c r="F994" s="75"/>
      <c r="G994" s="75"/>
      <c r="L994" s="76"/>
      <c r="N994" s="77"/>
    </row>
    <row r="995" spans="4:14" ht="16.5" customHeight="1">
      <c r="D995" s="75"/>
      <c r="E995" s="75"/>
      <c r="F995" s="75"/>
      <c r="G995" s="75"/>
      <c r="L995" s="76"/>
      <c r="N995" s="77"/>
    </row>
    <row r="996" spans="4:14" ht="16.5" customHeight="1">
      <c r="D996" s="75"/>
      <c r="E996" s="75"/>
      <c r="F996" s="75"/>
      <c r="G996" s="75"/>
      <c r="L996" s="76"/>
      <c r="N996" s="77"/>
    </row>
    <row r="997" spans="4:14" ht="16.5" customHeight="1">
      <c r="D997" s="75"/>
      <c r="E997" s="75"/>
      <c r="F997" s="75"/>
      <c r="G997" s="75"/>
      <c r="L997" s="76"/>
      <c r="N997" s="77"/>
    </row>
    <row r="998" spans="4:14" ht="16.5" customHeight="1">
      <c r="D998" s="75"/>
      <c r="E998" s="75"/>
      <c r="F998" s="75"/>
      <c r="G998" s="75"/>
      <c r="L998" s="76"/>
      <c r="N998" s="77"/>
    </row>
    <row r="999" spans="4:14" ht="16.5" customHeight="1">
      <c r="D999" s="75"/>
      <c r="E999" s="75"/>
      <c r="F999" s="75"/>
      <c r="G999" s="75"/>
      <c r="L999" s="76"/>
      <c r="N999" s="77"/>
    </row>
    <row r="1000" spans="4:14" ht="16.5" customHeight="1">
      <c r="D1000" s="75"/>
      <c r="E1000" s="75"/>
      <c r="F1000" s="75"/>
      <c r="G1000" s="75"/>
      <c r="L1000" s="76"/>
      <c r="N1000" s="77"/>
    </row>
    <row r="1001" spans="4:14" ht="16.5" customHeight="1">
      <c r="D1001" s="75"/>
      <c r="E1001" s="75"/>
      <c r="F1001" s="75"/>
      <c r="G1001" s="75"/>
      <c r="L1001" s="76"/>
      <c r="N1001" s="77"/>
    </row>
    <row r="1002" spans="4:14" ht="16.5" customHeight="1">
      <c r="D1002" s="75"/>
      <c r="E1002" s="75"/>
      <c r="F1002" s="75"/>
      <c r="G1002" s="75"/>
      <c r="L1002" s="76"/>
      <c r="N1002" s="77"/>
    </row>
    <row r="1003" spans="4:14" ht="16.5" customHeight="1">
      <c r="D1003" s="75"/>
      <c r="E1003" s="75"/>
      <c r="F1003" s="75"/>
      <c r="G1003" s="75"/>
      <c r="L1003" s="76"/>
      <c r="N1003" s="77"/>
    </row>
    <row r="1004" spans="4:14" ht="16.5" customHeight="1">
      <c r="D1004" s="75"/>
      <c r="E1004" s="75"/>
      <c r="F1004" s="75"/>
      <c r="G1004" s="75"/>
      <c r="L1004" s="76"/>
      <c r="N1004" s="77"/>
    </row>
    <row r="1005" spans="4:14" ht="16.5" customHeight="1">
      <c r="D1005" s="75"/>
      <c r="E1005" s="75"/>
      <c r="F1005" s="75"/>
      <c r="G1005" s="75"/>
      <c r="L1005" s="76"/>
      <c r="N1005" s="77"/>
    </row>
    <row r="1006" spans="4:14" ht="16.5" customHeight="1">
      <c r="D1006" s="75"/>
      <c r="E1006" s="75"/>
      <c r="F1006" s="75"/>
      <c r="G1006" s="75"/>
      <c r="L1006" s="76"/>
      <c r="N1006" s="77"/>
    </row>
    <row r="1007" spans="4:14" ht="16.5" customHeight="1">
      <c r="D1007" s="75"/>
      <c r="E1007" s="75"/>
      <c r="F1007" s="75"/>
      <c r="G1007" s="75"/>
      <c r="L1007" s="76"/>
      <c r="N1007" s="77"/>
    </row>
    <row r="1008" spans="4:14" ht="16.5" customHeight="1">
      <c r="D1008" s="75"/>
      <c r="E1008" s="75"/>
      <c r="F1008" s="75"/>
      <c r="G1008" s="75"/>
      <c r="L1008" s="76"/>
      <c r="N1008" s="77"/>
    </row>
    <row r="1009" spans="4:14" ht="16.5" customHeight="1">
      <c r="D1009" s="75"/>
      <c r="E1009" s="75"/>
      <c r="F1009" s="75"/>
      <c r="G1009" s="75"/>
      <c r="L1009" s="76"/>
      <c r="N1009" s="77"/>
    </row>
    <row r="1010" spans="4:14" ht="16.5" customHeight="1">
      <c r="D1010" s="75"/>
      <c r="E1010" s="75"/>
      <c r="F1010" s="75"/>
      <c r="G1010" s="75"/>
      <c r="L1010" s="76"/>
      <c r="N1010" s="77"/>
    </row>
    <row r="1011" spans="4:14" ht="16.5" customHeight="1">
      <c r="D1011" s="75"/>
      <c r="E1011" s="75"/>
      <c r="F1011" s="75"/>
      <c r="G1011" s="75"/>
      <c r="L1011" s="76"/>
      <c r="N1011" s="77"/>
    </row>
    <row r="1012" spans="4:14" ht="16.5" customHeight="1">
      <c r="D1012" s="75"/>
      <c r="E1012" s="75"/>
      <c r="F1012" s="75"/>
      <c r="G1012" s="75"/>
      <c r="L1012" s="76"/>
      <c r="N1012" s="77"/>
    </row>
    <row r="1013" spans="4:14" ht="16.5" customHeight="1">
      <c r="D1013" s="75"/>
      <c r="E1013" s="75"/>
      <c r="F1013" s="75"/>
      <c r="G1013" s="75"/>
      <c r="L1013" s="76"/>
      <c r="N1013" s="77"/>
    </row>
    <row r="1014" spans="4:14" ht="16.5" customHeight="1">
      <c r="D1014" s="75"/>
      <c r="E1014" s="75"/>
      <c r="F1014" s="75"/>
      <c r="G1014" s="75"/>
      <c r="L1014" s="76"/>
      <c r="N1014" s="77"/>
    </row>
    <row r="1015" spans="4:14" ht="16.5" customHeight="1">
      <c r="D1015" s="75"/>
      <c r="E1015" s="75"/>
      <c r="F1015" s="75"/>
      <c r="G1015" s="75"/>
      <c r="L1015" s="76"/>
      <c r="N1015" s="77"/>
    </row>
    <row r="1016" spans="4:14" ht="16.5" customHeight="1">
      <c r="D1016" s="75"/>
      <c r="E1016" s="75"/>
      <c r="F1016" s="75"/>
      <c r="G1016" s="75"/>
      <c r="L1016" s="76"/>
      <c r="N1016" s="77"/>
    </row>
    <row r="1017" spans="4:14" ht="16.5" customHeight="1">
      <c r="D1017" s="75"/>
      <c r="E1017" s="75"/>
      <c r="F1017" s="75"/>
      <c r="G1017" s="75"/>
      <c r="L1017" s="76"/>
      <c r="N1017" s="77"/>
    </row>
    <row r="1018" spans="4:14" ht="16.5" customHeight="1">
      <c r="D1018" s="75"/>
      <c r="E1018" s="75"/>
      <c r="F1018" s="75"/>
      <c r="G1018" s="75"/>
      <c r="L1018" s="76"/>
      <c r="N1018" s="77"/>
    </row>
    <row r="1019" spans="4:14" ht="16.5" customHeight="1">
      <c r="D1019" s="75"/>
      <c r="E1019" s="75"/>
      <c r="F1019" s="75"/>
      <c r="G1019" s="75"/>
      <c r="L1019" s="76"/>
      <c r="N1019" s="77"/>
    </row>
    <row r="1020" spans="4:14" ht="16.5" customHeight="1">
      <c r="D1020" s="75"/>
      <c r="E1020" s="75"/>
      <c r="F1020" s="75"/>
      <c r="G1020" s="75"/>
      <c r="L1020" s="76"/>
      <c r="N1020" s="77"/>
    </row>
    <row r="1021" spans="4:14" ht="16.5" customHeight="1">
      <c r="D1021" s="75"/>
      <c r="E1021" s="75"/>
      <c r="F1021" s="75"/>
      <c r="G1021" s="75"/>
      <c r="L1021" s="76"/>
      <c r="N1021" s="77"/>
    </row>
    <row r="1022" spans="4:14" ht="16.5" customHeight="1">
      <c r="D1022" s="75"/>
      <c r="E1022" s="75"/>
      <c r="F1022" s="75"/>
      <c r="G1022" s="75"/>
      <c r="L1022" s="76"/>
      <c r="N1022" s="77"/>
    </row>
    <row r="1023" spans="4:14" ht="16.5" customHeight="1">
      <c r="D1023" s="75"/>
      <c r="E1023" s="75"/>
      <c r="F1023" s="75"/>
      <c r="G1023" s="75"/>
      <c r="L1023" s="76"/>
      <c r="N1023" s="77"/>
    </row>
    <row r="1024" spans="4:14" ht="16.5" customHeight="1">
      <c r="D1024" s="75"/>
      <c r="E1024" s="75"/>
      <c r="F1024" s="75"/>
      <c r="G1024" s="75"/>
      <c r="L1024" s="76"/>
      <c r="N1024" s="77"/>
    </row>
    <row r="1025" spans="4:14" ht="16.5" customHeight="1">
      <c r="D1025" s="75"/>
      <c r="E1025" s="75"/>
      <c r="F1025" s="75"/>
      <c r="G1025" s="75"/>
      <c r="L1025" s="76"/>
      <c r="N1025" s="77"/>
    </row>
    <row r="1026" spans="4:14" ht="16.5" customHeight="1">
      <c r="D1026" s="75"/>
      <c r="E1026" s="75"/>
      <c r="F1026" s="75"/>
      <c r="G1026" s="75"/>
      <c r="L1026" s="76"/>
      <c r="N1026" s="77"/>
    </row>
    <row r="1027" spans="4:14" ht="16.5" customHeight="1">
      <c r="D1027" s="75"/>
      <c r="E1027" s="75"/>
      <c r="F1027" s="75"/>
      <c r="G1027" s="75"/>
      <c r="L1027" s="76"/>
      <c r="N1027" s="77"/>
    </row>
    <row r="1028" spans="4:14" ht="16.5" customHeight="1">
      <c r="D1028" s="75"/>
      <c r="E1028" s="75"/>
      <c r="F1028" s="75"/>
      <c r="G1028" s="75"/>
      <c r="L1028" s="76"/>
      <c r="N1028" s="77"/>
    </row>
    <row r="1029" spans="4:14" ht="16.5" customHeight="1">
      <c r="D1029" s="75"/>
      <c r="E1029" s="75"/>
      <c r="F1029" s="75"/>
      <c r="G1029" s="75"/>
      <c r="L1029" s="76"/>
      <c r="N1029" s="77"/>
    </row>
    <row r="1030" spans="4:14" ht="16.5" customHeight="1">
      <c r="D1030" s="75"/>
      <c r="E1030" s="75"/>
      <c r="F1030" s="75"/>
      <c r="G1030" s="75"/>
      <c r="L1030" s="76"/>
      <c r="N1030" s="77"/>
    </row>
    <row r="1031" spans="4:14" ht="16.5" customHeight="1">
      <c r="D1031" s="75"/>
      <c r="E1031" s="75"/>
      <c r="F1031" s="75"/>
      <c r="G1031" s="75"/>
      <c r="L1031" s="76"/>
      <c r="N1031" s="77"/>
    </row>
    <row r="1032" spans="4:14" ht="16.5" customHeight="1">
      <c r="D1032" s="75"/>
      <c r="E1032" s="75"/>
      <c r="F1032" s="75"/>
      <c r="G1032" s="75"/>
      <c r="L1032" s="76"/>
      <c r="N1032" s="77"/>
    </row>
    <row r="1033" spans="4:14" ht="16.5" customHeight="1">
      <c r="D1033" s="75"/>
      <c r="E1033" s="75"/>
      <c r="F1033" s="75"/>
      <c r="G1033" s="75"/>
      <c r="L1033" s="76"/>
      <c r="N1033" s="77"/>
    </row>
    <row r="1034" spans="4:14" ht="16.5" customHeight="1">
      <c r="D1034" s="75"/>
      <c r="E1034" s="75"/>
      <c r="F1034" s="75"/>
      <c r="G1034" s="75"/>
      <c r="L1034" s="76"/>
      <c r="N1034" s="77"/>
    </row>
    <row r="1035" spans="4:14" ht="16.5" customHeight="1">
      <c r="D1035" s="75"/>
      <c r="E1035" s="75"/>
      <c r="F1035" s="75"/>
      <c r="G1035" s="75"/>
      <c r="L1035" s="76"/>
      <c r="N1035" s="77"/>
    </row>
    <row r="1036" spans="4:14" ht="16.5" customHeight="1">
      <c r="D1036" s="75"/>
      <c r="E1036" s="75"/>
      <c r="F1036" s="75"/>
      <c r="G1036" s="75"/>
      <c r="L1036" s="76"/>
      <c r="N1036" s="77"/>
    </row>
    <row r="1037" spans="4:14" ht="16.5" customHeight="1">
      <c r="D1037" s="75"/>
      <c r="E1037" s="75"/>
      <c r="F1037" s="75"/>
      <c r="G1037" s="75"/>
      <c r="L1037" s="76"/>
      <c r="N1037" s="77"/>
    </row>
    <row r="1038" spans="4:14" ht="16.5" customHeight="1">
      <c r="D1038" s="75"/>
      <c r="E1038" s="75"/>
      <c r="F1038" s="75"/>
      <c r="G1038" s="75"/>
      <c r="L1038" s="76"/>
      <c r="N1038" s="77"/>
    </row>
    <row r="1039" spans="4:14" ht="16.5" customHeight="1">
      <c r="D1039" s="75"/>
      <c r="E1039" s="75"/>
      <c r="F1039" s="75"/>
      <c r="G1039" s="75"/>
      <c r="L1039" s="76"/>
      <c r="N1039" s="77"/>
    </row>
    <row r="1040" spans="4:14" ht="16.5" customHeight="1">
      <c r="D1040" s="75"/>
      <c r="E1040" s="75"/>
      <c r="F1040" s="75"/>
      <c r="G1040" s="75"/>
      <c r="L1040" s="76"/>
      <c r="N1040" s="77"/>
    </row>
    <row r="1041" spans="4:14" ht="16.5" customHeight="1">
      <c r="D1041" s="75"/>
      <c r="E1041" s="75"/>
      <c r="F1041" s="75"/>
      <c r="G1041" s="75"/>
      <c r="L1041" s="76"/>
      <c r="N1041" s="77"/>
    </row>
    <row r="1042" spans="4:14" ht="16.5" customHeight="1">
      <c r="D1042" s="75"/>
      <c r="E1042" s="75"/>
      <c r="F1042" s="75"/>
      <c r="G1042" s="75"/>
      <c r="L1042" s="76"/>
      <c r="N1042" s="77"/>
    </row>
    <row r="1043" spans="4:14" ht="16.5" customHeight="1">
      <c r="D1043" s="75"/>
      <c r="E1043" s="75"/>
      <c r="F1043" s="75"/>
      <c r="G1043" s="75"/>
      <c r="L1043" s="76"/>
      <c r="N1043" s="77"/>
    </row>
    <row r="1044" spans="4:14" ht="16.5" customHeight="1">
      <c r="D1044" s="75"/>
      <c r="E1044" s="75"/>
      <c r="F1044" s="75"/>
      <c r="G1044" s="75"/>
      <c r="L1044" s="76"/>
      <c r="N1044" s="77"/>
    </row>
    <row r="1045" spans="4:14" ht="16.5" customHeight="1">
      <c r="D1045" s="75"/>
      <c r="E1045" s="75"/>
      <c r="F1045" s="75"/>
      <c r="G1045" s="75"/>
      <c r="L1045" s="76"/>
      <c r="N1045" s="77"/>
    </row>
    <row r="1046" spans="4:14" ht="16.5" customHeight="1">
      <c r="D1046" s="75"/>
      <c r="E1046" s="75"/>
      <c r="F1046" s="75"/>
      <c r="G1046" s="75"/>
      <c r="L1046" s="76"/>
      <c r="N1046" s="77"/>
    </row>
    <row r="1047" spans="4:14" ht="16.5" customHeight="1">
      <c r="D1047" s="75"/>
      <c r="E1047" s="75"/>
      <c r="F1047" s="75"/>
      <c r="G1047" s="75"/>
      <c r="L1047" s="76"/>
      <c r="N1047" s="77"/>
    </row>
    <row r="1048" spans="4:14" ht="16.5" customHeight="1">
      <c r="D1048" s="75"/>
      <c r="E1048" s="75"/>
      <c r="F1048" s="75"/>
      <c r="G1048" s="75"/>
      <c r="L1048" s="76"/>
      <c r="N1048" s="77"/>
    </row>
    <row r="1049" spans="4:14" ht="16.5" customHeight="1">
      <c r="D1049" s="75"/>
      <c r="E1049" s="75"/>
      <c r="F1049" s="75"/>
      <c r="G1049" s="75"/>
      <c r="L1049" s="76"/>
      <c r="N1049" s="77"/>
    </row>
    <row r="1050" spans="4:14" ht="16.5" customHeight="1">
      <c r="D1050" s="75"/>
      <c r="E1050" s="75"/>
      <c r="F1050" s="75"/>
      <c r="G1050" s="75"/>
      <c r="L1050" s="76"/>
      <c r="N1050" s="77"/>
    </row>
    <row r="1051" spans="4:14" ht="16.5" customHeight="1">
      <c r="D1051" s="75"/>
      <c r="E1051" s="75"/>
      <c r="F1051" s="75"/>
      <c r="G1051" s="75"/>
      <c r="L1051" s="76"/>
      <c r="N1051" s="77"/>
    </row>
    <row r="1052" spans="4:14" ht="16.5" customHeight="1">
      <c r="D1052" s="75"/>
      <c r="E1052" s="75"/>
      <c r="F1052" s="75"/>
      <c r="G1052" s="75"/>
      <c r="L1052" s="76"/>
      <c r="N1052" s="77"/>
    </row>
    <row r="1053" spans="4:14" ht="16.5" customHeight="1">
      <c r="D1053" s="75"/>
      <c r="E1053" s="75"/>
      <c r="F1053" s="75"/>
      <c r="G1053" s="75"/>
      <c r="L1053" s="76"/>
      <c r="N1053" s="77"/>
    </row>
    <row r="1054" spans="4:14" ht="16.5" customHeight="1">
      <c r="D1054" s="75"/>
      <c r="E1054" s="75"/>
      <c r="F1054" s="75"/>
      <c r="G1054" s="75"/>
      <c r="L1054" s="76"/>
      <c r="N1054" s="77"/>
    </row>
    <row r="1055" spans="4:14" ht="16.5" customHeight="1">
      <c r="D1055" s="75"/>
      <c r="E1055" s="75"/>
      <c r="F1055" s="75"/>
      <c r="G1055" s="75"/>
      <c r="L1055" s="76"/>
      <c r="N1055" s="77"/>
    </row>
    <row r="1056" spans="4:14" ht="16.5" customHeight="1">
      <c r="D1056" s="75"/>
      <c r="E1056" s="75"/>
      <c r="F1056" s="75"/>
      <c r="G1056" s="75"/>
      <c r="L1056" s="76"/>
      <c r="N1056" s="77"/>
    </row>
    <row r="1057" spans="4:14" ht="16.5" customHeight="1">
      <c r="D1057" s="75"/>
      <c r="E1057" s="75"/>
      <c r="F1057" s="75"/>
      <c r="G1057" s="75"/>
      <c r="L1057" s="76"/>
      <c r="N1057" s="77"/>
    </row>
    <row r="1058" spans="4:14" ht="16.5" customHeight="1">
      <c r="D1058" s="75"/>
      <c r="E1058" s="75"/>
      <c r="F1058" s="75"/>
      <c r="G1058" s="75"/>
      <c r="L1058" s="76"/>
      <c r="N1058" s="77"/>
    </row>
    <row r="1059" spans="4:14" ht="16.5" customHeight="1">
      <c r="D1059" s="75"/>
      <c r="E1059" s="75"/>
      <c r="F1059" s="75"/>
      <c r="G1059" s="75"/>
      <c r="L1059" s="76"/>
      <c r="N1059" s="77"/>
    </row>
    <row r="1060" spans="4:14" ht="16.5" customHeight="1">
      <c r="D1060" s="75"/>
      <c r="E1060" s="75"/>
      <c r="F1060" s="75"/>
      <c r="G1060" s="75"/>
      <c r="L1060" s="76"/>
      <c r="N1060" s="77"/>
    </row>
    <row r="1061" spans="4:14" ht="16.5" customHeight="1">
      <c r="D1061" s="75"/>
      <c r="E1061" s="75"/>
      <c r="F1061" s="75"/>
      <c r="G1061" s="75"/>
      <c r="L1061" s="76"/>
      <c r="N1061" s="77"/>
    </row>
    <row r="1062" spans="4:14" ht="16.5" customHeight="1">
      <c r="D1062" s="75"/>
      <c r="E1062" s="75"/>
      <c r="F1062" s="75"/>
      <c r="G1062" s="75"/>
      <c r="L1062" s="76"/>
      <c r="N1062" s="77"/>
    </row>
    <row r="1063" spans="4:14" ht="16.5" customHeight="1">
      <c r="D1063" s="75"/>
      <c r="E1063" s="75"/>
      <c r="F1063" s="75"/>
      <c r="G1063" s="75"/>
      <c r="L1063" s="76"/>
      <c r="N1063" s="77"/>
    </row>
    <row r="1064" spans="4:14" ht="16.5" customHeight="1">
      <c r="D1064" s="75"/>
      <c r="E1064" s="75"/>
      <c r="F1064" s="75"/>
      <c r="G1064" s="75"/>
      <c r="L1064" s="76"/>
      <c r="N1064" s="77"/>
    </row>
    <row r="1065" spans="4:14" ht="16.5" customHeight="1">
      <c r="D1065" s="75"/>
      <c r="E1065" s="75"/>
      <c r="F1065" s="75"/>
      <c r="G1065" s="75"/>
      <c r="L1065" s="76"/>
      <c r="N1065" s="77"/>
    </row>
    <row r="1066" spans="4:14" ht="16.5" customHeight="1">
      <c r="D1066" s="75"/>
      <c r="E1066" s="75"/>
      <c r="F1066" s="75"/>
      <c r="G1066" s="75"/>
      <c r="L1066" s="76"/>
      <c r="N1066" s="77"/>
    </row>
    <row r="1067" spans="4:14" ht="16.5" customHeight="1">
      <c r="D1067" s="75"/>
      <c r="E1067" s="75"/>
      <c r="F1067" s="75"/>
      <c r="G1067" s="75"/>
      <c r="L1067" s="76"/>
      <c r="N1067" s="77"/>
    </row>
    <row r="1068" spans="4:14" ht="16.5" customHeight="1">
      <c r="D1068" s="75"/>
      <c r="E1068" s="75"/>
      <c r="F1068" s="75"/>
      <c r="G1068" s="75"/>
      <c r="L1068" s="76"/>
      <c r="N1068" s="77"/>
    </row>
    <row r="1069" spans="4:14" ht="16.5" customHeight="1">
      <c r="D1069" s="75"/>
      <c r="E1069" s="75"/>
      <c r="F1069" s="75"/>
      <c r="G1069" s="75"/>
      <c r="L1069" s="76"/>
      <c r="N1069" s="77"/>
    </row>
    <row r="1070" spans="4:14" ht="16.5" customHeight="1">
      <c r="D1070" s="75"/>
      <c r="E1070" s="75"/>
      <c r="F1070" s="75"/>
      <c r="G1070" s="75"/>
      <c r="L1070" s="76"/>
      <c r="N1070" s="77"/>
    </row>
    <row r="1071" spans="4:14" ht="16.5" customHeight="1">
      <c r="D1071" s="75"/>
      <c r="E1071" s="75"/>
      <c r="F1071" s="75"/>
      <c r="G1071" s="75"/>
      <c r="L1071" s="76"/>
      <c r="N1071" s="77"/>
    </row>
    <row r="1072" spans="4:14" ht="16.5" customHeight="1">
      <c r="D1072" s="75"/>
      <c r="E1072" s="75"/>
      <c r="F1072" s="75"/>
      <c r="G1072" s="75"/>
      <c r="L1072" s="76"/>
      <c r="N1072" s="77"/>
    </row>
    <row r="1073" spans="4:14" ht="16.5" customHeight="1">
      <c r="D1073" s="75"/>
      <c r="E1073" s="75"/>
      <c r="F1073" s="75"/>
      <c r="G1073" s="75"/>
      <c r="L1073" s="76"/>
      <c r="N1073" s="77"/>
    </row>
    <row r="1074" spans="4:14" ht="16.5" customHeight="1">
      <c r="D1074" s="75"/>
      <c r="E1074" s="75"/>
      <c r="F1074" s="75"/>
      <c r="G1074" s="75"/>
      <c r="L1074" s="76"/>
      <c r="N1074" s="77"/>
    </row>
    <row r="1075" spans="4:14" ht="16.5" customHeight="1">
      <c r="D1075" s="75"/>
      <c r="E1075" s="75"/>
      <c r="F1075" s="75"/>
      <c r="G1075" s="75"/>
      <c r="L1075" s="76"/>
      <c r="N1075" s="77"/>
    </row>
    <row r="1076" spans="4:14" ht="16.5" customHeight="1">
      <c r="D1076" s="75"/>
      <c r="E1076" s="75"/>
      <c r="F1076" s="75"/>
      <c r="G1076" s="75"/>
      <c r="L1076" s="76"/>
      <c r="N1076" s="77"/>
    </row>
    <row r="1077" spans="4:14" ht="16.5" customHeight="1">
      <c r="D1077" s="75"/>
      <c r="E1077" s="75"/>
      <c r="F1077" s="75"/>
      <c r="G1077" s="75"/>
      <c r="L1077" s="76"/>
      <c r="N1077" s="77"/>
    </row>
    <row r="1078" spans="4:14" ht="16.5" customHeight="1">
      <c r="D1078" s="75"/>
      <c r="E1078" s="75"/>
      <c r="F1078" s="75"/>
      <c r="G1078" s="75"/>
      <c r="L1078" s="76"/>
      <c r="N1078" s="77"/>
    </row>
    <row r="1079" spans="4:14" ht="16.5" customHeight="1">
      <c r="D1079" s="75"/>
      <c r="E1079" s="75"/>
      <c r="F1079" s="75"/>
      <c r="G1079" s="75"/>
      <c r="L1079" s="76"/>
      <c r="N1079" s="77"/>
    </row>
    <row r="1080" spans="4:14" ht="16.5" customHeight="1">
      <c r="D1080" s="75"/>
      <c r="E1080" s="75"/>
      <c r="F1080" s="75"/>
      <c r="G1080" s="75"/>
      <c r="L1080" s="76"/>
      <c r="N1080" s="77"/>
    </row>
    <row r="1081" spans="4:14" ht="16.5" customHeight="1">
      <c r="D1081" s="75"/>
      <c r="E1081" s="75"/>
      <c r="F1081" s="75"/>
      <c r="G1081" s="75"/>
      <c r="L1081" s="76"/>
      <c r="N1081" s="77"/>
    </row>
  </sheetData>
  <mergeCells count="27">
    <mergeCell ref="O29:O49"/>
    <mergeCell ref="B202:B206"/>
    <mergeCell ref="A1:N2"/>
    <mergeCell ref="F210:G210"/>
    <mergeCell ref="F195:G195"/>
    <mergeCell ref="B209:B210"/>
    <mergeCell ref="F207:G207"/>
    <mergeCell ref="F197:G197"/>
    <mergeCell ref="F208:G208"/>
    <mergeCell ref="F193:G193"/>
    <mergeCell ref="F192:G192"/>
    <mergeCell ref="F201:G201"/>
    <mergeCell ref="A201:A210"/>
    <mergeCell ref="F204:G204"/>
    <mergeCell ref="F198:G198"/>
    <mergeCell ref="F194:G194"/>
    <mergeCell ref="F209:G209"/>
    <mergeCell ref="F199:G199"/>
    <mergeCell ref="F206:G206"/>
    <mergeCell ref="B194:B199"/>
    <mergeCell ref="F205:G205"/>
    <mergeCell ref="O52:O54"/>
    <mergeCell ref="F196:G196"/>
    <mergeCell ref="F202:G202"/>
    <mergeCell ref="F203:G203"/>
    <mergeCell ref="A193:A200"/>
    <mergeCell ref="F200:G200"/>
  </mergeCells>
  <phoneticPr fontId="34" type="noConversion"/>
  <dataValidations count="4">
    <dataValidation type="list" allowBlank="1" showErrorMessage="1" sqref="C5:C107 C140 C146 C148:C175" xr:uid="{00000000-0002-0000-0200-000000000000}">
      <formula1>INDIRECT(B5)</formula1>
    </dataValidation>
    <dataValidation type="list" allowBlank="1" showInputMessage="1" showErrorMessage="1" sqref="A177" xr:uid="{00000000-0002-0000-0200-000001000000}">
      <formula1>INDIRECT(A177)</formula1>
    </dataValidation>
    <dataValidation type="list" allowBlank="1" showInputMessage="1" sqref="C108:C139 C141:C145 C147" xr:uid="{00000000-0002-0000-0200-000002000000}">
      <formula1>INDIRECT($B108)</formula1>
    </dataValidation>
    <dataValidation type="list" allowBlank="1" showErrorMessage="1" sqref="B5:B175" xr:uid="{00000000-0002-0000-0200-000003000000}">
      <formula1>$A$177:$H$177</formula1>
    </dataValidation>
  </dataValidations>
  <pageMargins left="0.7" right="0.7" top="0.75" bottom="0.75" header="0.3" footer="0.3"/>
  <legacy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7"/>
  <sheetViews>
    <sheetView topLeftCell="A2" workbookViewId="0">
      <selection activeCell="J19" sqref="J19"/>
    </sheetView>
  </sheetViews>
  <sheetFormatPr defaultColWidth="14.42578125" defaultRowHeight="15"/>
  <cols>
    <col min="1" max="1" width="3.28515625" style="158" customWidth="1"/>
    <col min="2" max="2" width="11.42578125" style="158" customWidth="1"/>
    <col min="3" max="7" width="13.28515625" style="158" customWidth="1"/>
    <col min="8" max="8" width="57.28515625" style="158" customWidth="1"/>
    <col min="9" max="9" width="9" style="158" customWidth="1"/>
    <col min="10" max="10" width="17.140625" style="158" customWidth="1"/>
    <col min="11" max="26" width="8.7109375" style="158" customWidth="1"/>
  </cols>
  <sheetData>
    <row r="1" spans="1:26" ht="12.75" customHeight="1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spans="1:26" ht="33" customHeight="1">
      <c r="A2" s="98"/>
      <c r="B2" s="263" t="s">
        <v>342</v>
      </c>
      <c r="C2" s="252"/>
      <c r="D2" s="252"/>
      <c r="E2" s="252"/>
      <c r="F2" s="252"/>
      <c r="G2" s="252"/>
      <c r="H2" s="252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</row>
    <row r="3" spans="1:26" ht="12" customHeight="1">
      <c r="A3" s="98"/>
      <c r="B3" s="99"/>
      <c r="C3" s="99"/>
      <c r="D3" s="99"/>
      <c r="E3" s="99"/>
      <c r="F3" s="99"/>
      <c r="G3" s="99"/>
      <c r="H3" s="99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</row>
    <row r="4" spans="1:26" ht="12" customHeight="1">
      <c r="A4" s="98"/>
      <c r="B4" s="99"/>
      <c r="C4" s="99"/>
      <c r="D4" s="99"/>
      <c r="E4" s="99"/>
      <c r="F4" s="99"/>
      <c r="G4" s="99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</row>
    <row r="5" spans="1:26" ht="28.5" customHeight="1">
      <c r="A5" s="98"/>
      <c r="B5" s="100"/>
      <c r="C5" s="101" t="s">
        <v>343</v>
      </c>
      <c r="D5" s="102" t="s">
        <v>344</v>
      </c>
      <c r="E5" s="102" t="s">
        <v>345</v>
      </c>
      <c r="F5" s="102" t="s">
        <v>346</v>
      </c>
      <c r="G5" s="101" t="s">
        <v>347</v>
      </c>
      <c r="H5" s="101" t="s">
        <v>348</v>
      </c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</row>
    <row r="6" spans="1:26" ht="28.5" customHeight="1">
      <c r="A6" s="98"/>
      <c r="B6" s="101" t="s">
        <v>349</v>
      </c>
      <c r="C6" s="103">
        <v>45</v>
      </c>
      <c r="D6" s="103">
        <v>189</v>
      </c>
      <c r="E6" s="104">
        <f t="shared" ref="E6:E13" si="0">C6*20000</f>
        <v>900000</v>
      </c>
      <c r="F6" s="104">
        <f>189*5000+5000</f>
        <v>950000</v>
      </c>
      <c r="G6" s="105">
        <f>SUM(E6:F6)</f>
        <v>1850000</v>
      </c>
      <c r="H6" s="106" t="s">
        <v>350</v>
      </c>
      <c r="I6" s="98"/>
      <c r="J6" s="107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spans="1:26" ht="28.5" customHeight="1">
      <c r="A7" s="98"/>
      <c r="B7" s="101" t="s">
        <v>351</v>
      </c>
      <c r="C7" s="103">
        <v>46</v>
      </c>
      <c r="D7" s="103">
        <v>186</v>
      </c>
      <c r="E7" s="104">
        <f t="shared" si="0"/>
        <v>920000</v>
      </c>
      <c r="F7" s="104">
        <f t="shared" ref="F7:F13" si="1">D7*5000+5000</f>
        <v>935000</v>
      </c>
      <c r="G7" s="105">
        <f t="shared" ref="G7:G13" si="2">E7+F7</f>
        <v>1855000</v>
      </c>
      <c r="H7" s="106" t="s">
        <v>352</v>
      </c>
      <c r="I7" s="98"/>
      <c r="J7" s="107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</row>
    <row r="8" spans="1:26" ht="28.5" customHeight="1">
      <c r="A8" s="98"/>
      <c r="B8" s="101" t="s">
        <v>353</v>
      </c>
      <c r="C8" s="103">
        <v>46</v>
      </c>
      <c r="D8" s="103">
        <v>185</v>
      </c>
      <c r="E8" s="104">
        <f t="shared" si="0"/>
        <v>920000</v>
      </c>
      <c r="F8" s="104">
        <f t="shared" si="1"/>
        <v>930000</v>
      </c>
      <c r="G8" s="105">
        <f t="shared" si="2"/>
        <v>1850000</v>
      </c>
      <c r="H8" s="106" t="s">
        <v>354</v>
      </c>
      <c r="I8" s="98"/>
      <c r="J8" s="107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</row>
    <row r="9" spans="1:26" ht="28.5" customHeight="1">
      <c r="A9" s="98"/>
      <c r="B9" s="101" t="s">
        <v>355</v>
      </c>
      <c r="C9" s="103">
        <v>46</v>
      </c>
      <c r="D9" s="108">
        <v>186</v>
      </c>
      <c r="E9" s="104">
        <f t="shared" si="0"/>
        <v>920000</v>
      </c>
      <c r="F9" s="104">
        <f t="shared" si="1"/>
        <v>935000</v>
      </c>
      <c r="G9" s="105">
        <f t="shared" si="2"/>
        <v>1855000</v>
      </c>
      <c r="H9" s="106" t="s">
        <v>356</v>
      </c>
      <c r="I9" s="98"/>
      <c r="J9" s="107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</row>
    <row r="10" spans="1:26" ht="28.5" customHeight="1">
      <c r="A10" s="98"/>
      <c r="B10" s="101" t="s">
        <v>357</v>
      </c>
      <c r="C10" s="103">
        <v>46</v>
      </c>
      <c r="D10" s="108">
        <v>187</v>
      </c>
      <c r="E10" s="104">
        <f t="shared" si="0"/>
        <v>920000</v>
      </c>
      <c r="F10" s="104">
        <f t="shared" si="1"/>
        <v>940000</v>
      </c>
      <c r="G10" s="105">
        <f t="shared" si="2"/>
        <v>1860000</v>
      </c>
      <c r="H10" s="106" t="s">
        <v>358</v>
      </c>
      <c r="I10" s="98"/>
      <c r="J10" s="107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</row>
    <row r="11" spans="1:26" ht="28.5" customHeight="1">
      <c r="A11" s="98"/>
      <c r="B11" s="101" t="s">
        <v>359</v>
      </c>
      <c r="C11" s="103">
        <v>46</v>
      </c>
      <c r="D11" s="103">
        <v>187</v>
      </c>
      <c r="E11" s="104">
        <f t="shared" si="0"/>
        <v>920000</v>
      </c>
      <c r="F11" s="104">
        <f t="shared" si="1"/>
        <v>940000</v>
      </c>
      <c r="G11" s="105">
        <f t="shared" si="2"/>
        <v>1860000</v>
      </c>
      <c r="H11" s="106" t="s">
        <v>360</v>
      </c>
      <c r="I11" s="98"/>
      <c r="J11" s="107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</row>
    <row r="12" spans="1:26" ht="28.5" customHeight="1">
      <c r="A12" s="98"/>
      <c r="B12" s="101" t="s">
        <v>361</v>
      </c>
      <c r="C12" s="103">
        <v>46</v>
      </c>
      <c r="D12" s="103">
        <v>188</v>
      </c>
      <c r="E12" s="104">
        <f t="shared" si="0"/>
        <v>920000</v>
      </c>
      <c r="F12" s="104">
        <f t="shared" si="1"/>
        <v>945000</v>
      </c>
      <c r="G12" s="105">
        <f t="shared" si="2"/>
        <v>1865000</v>
      </c>
      <c r="H12" s="106" t="s">
        <v>362</v>
      </c>
      <c r="I12" s="98"/>
      <c r="J12" s="107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</row>
    <row r="13" spans="1:26" ht="28.5" customHeight="1">
      <c r="A13" s="98"/>
      <c r="B13" s="101" t="s">
        <v>363</v>
      </c>
      <c r="C13" s="103">
        <v>46</v>
      </c>
      <c r="D13" s="103">
        <v>189</v>
      </c>
      <c r="E13" s="104">
        <f t="shared" si="0"/>
        <v>920000</v>
      </c>
      <c r="F13" s="104">
        <f t="shared" si="1"/>
        <v>950000</v>
      </c>
      <c r="G13" s="105">
        <f t="shared" si="2"/>
        <v>1870000</v>
      </c>
      <c r="H13" s="106" t="s">
        <v>364</v>
      </c>
      <c r="I13" s="98"/>
      <c r="J13" s="107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</row>
    <row r="14" spans="1:26" ht="28.5" customHeight="1">
      <c r="A14" s="98"/>
      <c r="B14" s="101" t="s">
        <v>365</v>
      </c>
      <c r="C14" s="103"/>
      <c r="D14" s="103"/>
      <c r="E14" s="104"/>
      <c r="F14" s="104"/>
      <c r="G14" s="105"/>
      <c r="H14" s="106"/>
      <c r="I14" s="98"/>
      <c r="J14" s="107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</row>
    <row r="15" spans="1:26" ht="28.5" customHeight="1">
      <c r="A15" s="98"/>
      <c r="B15" s="101" t="s">
        <v>366</v>
      </c>
      <c r="C15" s="103"/>
      <c r="D15" s="103"/>
      <c r="E15" s="104"/>
      <c r="F15" s="104"/>
      <c r="G15" s="105"/>
      <c r="H15" s="106"/>
      <c r="I15" s="98"/>
      <c r="J15" s="107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</row>
    <row r="16" spans="1:26" ht="28.5" customHeight="1">
      <c r="A16" s="98"/>
      <c r="B16" s="101" t="s">
        <v>367</v>
      </c>
      <c r="C16" s="103"/>
      <c r="D16" s="103"/>
      <c r="E16" s="104"/>
      <c r="F16" s="104"/>
      <c r="G16" s="105"/>
      <c r="H16" s="106"/>
      <c r="I16" s="98"/>
      <c r="J16" s="107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</row>
    <row r="17" spans="1:26" ht="28.5" customHeight="1">
      <c r="A17" s="98"/>
      <c r="B17" s="101" t="s">
        <v>368</v>
      </c>
      <c r="C17" s="103"/>
      <c r="D17" s="103"/>
      <c r="E17" s="104"/>
      <c r="F17" s="104"/>
      <c r="G17" s="105"/>
      <c r="H17" s="106"/>
      <c r="I17" s="98"/>
      <c r="J17" s="107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</row>
    <row r="18" spans="1:26" ht="26.25" customHeight="1">
      <c r="A18" s="98"/>
      <c r="B18" s="109" t="s">
        <v>369</v>
      </c>
      <c r="C18" s="103"/>
      <c r="D18" s="103"/>
      <c r="E18" s="110">
        <f>SUM(E6:E17)</f>
        <v>7340000</v>
      </c>
      <c r="F18" s="110">
        <f>SUM(F6:F17)</f>
        <v>7525000</v>
      </c>
      <c r="G18" s="110">
        <f>SUM(G6:G17)</f>
        <v>14865000</v>
      </c>
      <c r="H18" s="111"/>
      <c r="I18" s="98"/>
      <c r="J18" s="107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</row>
    <row r="19" spans="1:26" ht="46.5" customHeight="1">
      <c r="A19" s="98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</row>
    <row r="20" spans="1:26" ht="27" customHeight="1">
      <c r="A20" s="98"/>
      <c r="B20" s="116" t="s">
        <v>370</v>
      </c>
      <c r="C20" s="113"/>
      <c r="D20" s="113"/>
      <c r="E20" s="114"/>
      <c r="F20" s="114"/>
      <c r="G20" s="154">
        <f>SUMIFS('3. 5기 수입지출장부'!$D$5:$D$2003,'3. 5기 수입지출장부'!$C$5:$C$2003,"재정사업")</f>
        <v>3308400</v>
      </c>
      <c r="H20" s="111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</row>
    <row r="21" spans="1:26" ht="3.75" customHeight="1">
      <c r="A21" s="98"/>
      <c r="B21" s="112"/>
      <c r="C21" s="113"/>
      <c r="D21" s="113"/>
      <c r="E21" s="114"/>
      <c r="F21" s="114"/>
      <c r="G21" s="115"/>
      <c r="H21" s="111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</row>
    <row r="22" spans="1:26" ht="22.5" customHeight="1">
      <c r="A22" s="98"/>
      <c r="B22" s="116" t="s">
        <v>371</v>
      </c>
      <c r="C22" s="113"/>
      <c r="D22" s="113"/>
      <c r="E22" s="114"/>
      <c r="F22" s="114"/>
      <c r="G22" s="154">
        <f>SUMIFS('3. 5기 수입지출장부'!$D$5:$D$2003,'3. 5기 수입지출장부'!$C$5:$C$2003,"이자수입")</f>
        <v>13300</v>
      </c>
      <c r="H22" s="111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</row>
    <row r="23" spans="1:26" ht="5.25" customHeight="1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</row>
    <row r="24" spans="1:26" ht="24" customHeight="1">
      <c r="A24" s="98"/>
      <c r="B24" s="116" t="s">
        <v>372</v>
      </c>
      <c r="C24" s="113"/>
      <c r="D24" s="113"/>
      <c r="E24" s="114"/>
      <c r="F24" s="114"/>
      <c r="G24" s="154">
        <f>G18+G20+G22</f>
        <v>18186700</v>
      </c>
      <c r="H24" s="109" t="s">
        <v>373</v>
      </c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</row>
    <row r="25" spans="1:26" ht="12.75" customHeight="1">
      <c r="A25" s="98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</row>
    <row r="26" spans="1:26" ht="12.75" customHeight="1">
      <c r="A26" s="98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</row>
    <row r="27" spans="1:26" ht="12.75" customHeight="1">
      <c r="A27" s="98"/>
      <c r="B27" s="117"/>
      <c r="C27" s="98"/>
      <c r="D27" s="98"/>
      <c r="E27" s="98"/>
      <c r="F27" s="98"/>
      <c r="G27" s="11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</row>
    <row r="28" spans="1:26" ht="12.75" customHeight="1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</row>
    <row r="29" spans="1:26" ht="12.75" customHeight="1">
      <c r="A29" s="9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spans="1:26" ht="12.75" customHeight="1">
      <c r="A30" s="98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</row>
    <row r="31" spans="1:26" ht="12.75" customHeight="1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</row>
    <row r="32" spans="1:26" ht="12.75" customHeight="1">
      <c r="A32" s="98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</row>
    <row r="33" spans="1:26" ht="12.75" customHeight="1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</row>
    <row r="34" spans="1:26" ht="12.75" customHeight="1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</row>
    <row r="35" spans="1:26" ht="12.75" customHeight="1">
      <c r="A35" s="98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</row>
    <row r="36" spans="1:26" ht="12.75" customHeight="1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</row>
    <row r="37" spans="1:26" ht="12.75" customHeight="1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</row>
    <row r="38" spans="1:26" ht="12.75" customHeight="1">
      <c r="A38" s="98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</row>
    <row r="39" spans="1:26" ht="12.75" customHeight="1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</row>
    <row r="40" spans="1:26" ht="12.75" customHeight="1">
      <c r="A40" s="98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</row>
    <row r="41" spans="1:26" ht="12.75" customHeight="1">
      <c r="A41" s="98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</row>
    <row r="42" spans="1:26" ht="12.75" customHeight="1">
      <c r="A42" s="98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</row>
    <row r="43" spans="1:26" ht="12.75" customHeight="1">
      <c r="A43" s="98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</row>
    <row r="44" spans="1:26" ht="12.75" customHeight="1">
      <c r="A44" s="98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</row>
    <row r="45" spans="1:26" ht="12.75" customHeight="1">
      <c r="A45" s="98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</row>
    <row r="46" spans="1:26" ht="12.75" customHeight="1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</row>
    <row r="47" spans="1:26" ht="12.75" customHeight="1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</row>
    <row r="48" spans="1:26" ht="12.75" customHeight="1">
      <c r="A48" s="98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</row>
    <row r="49" spans="1:26" ht="12.75" customHeight="1">
      <c r="A49" s="98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 spans="1:26" ht="12.75" customHeight="1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</row>
    <row r="51" spans="1:26" ht="12.75" customHeight="1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</row>
    <row r="52" spans="1:26" ht="12.75" customHeight="1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</row>
    <row r="53" spans="1:26" ht="12.75" customHeight="1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</row>
    <row r="54" spans="1:26" ht="12.75" customHeight="1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</row>
    <row r="55" spans="1:26" ht="12.75" customHeight="1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</row>
    <row r="56" spans="1:26" ht="12.75" customHeight="1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</row>
    <row r="57" spans="1:26" ht="12.75" customHeight="1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</row>
    <row r="58" spans="1:26" ht="12.75" customHeight="1">
      <c r="A58" s="98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</row>
    <row r="59" spans="1:26" ht="12.75" customHeight="1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</row>
    <row r="60" spans="1:26" ht="12.75" customHeight="1">
      <c r="A60" s="98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</row>
    <row r="61" spans="1:26" ht="12.75" customHeight="1">
      <c r="A61" s="98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 spans="1:26" ht="12.75" customHeight="1">
      <c r="A62" s="98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</row>
    <row r="63" spans="1:26" ht="12.75" customHeight="1">
      <c r="A63" s="98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</row>
    <row r="64" spans="1:26" ht="12.75" customHeight="1">
      <c r="A64" s="98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</row>
    <row r="65" spans="1:26" ht="12.75" customHeight="1">
      <c r="A65" s="98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</row>
    <row r="66" spans="1:26" ht="12.75" customHeight="1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</row>
    <row r="67" spans="1:26" ht="12.75" customHeight="1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</row>
    <row r="68" spans="1:26" ht="12.75" customHeight="1">
      <c r="A68" s="98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</row>
    <row r="69" spans="1:26" ht="12.75" customHeight="1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</row>
    <row r="70" spans="1:26" ht="12.75" customHeight="1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</row>
    <row r="71" spans="1:26" ht="12.75" customHeight="1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</row>
    <row r="72" spans="1:26" ht="12.75" customHeight="1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</row>
    <row r="73" spans="1:26" ht="12.75" customHeight="1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</row>
    <row r="74" spans="1:26" ht="12.75" customHeight="1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</row>
    <row r="75" spans="1:26" ht="12.75" customHeight="1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</row>
    <row r="76" spans="1:26" ht="12.75" customHeight="1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</row>
    <row r="77" spans="1:26" ht="12.75" customHeight="1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</row>
    <row r="78" spans="1:26" ht="12.75" customHeight="1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</row>
    <row r="79" spans="1:26" ht="12.75" customHeight="1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</row>
    <row r="80" spans="1:26" ht="12.75" customHeight="1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</row>
    <row r="81" spans="1:26" ht="12.75" customHeight="1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</row>
    <row r="82" spans="1:26" ht="12.75" customHeight="1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</row>
    <row r="83" spans="1:26" ht="12.75" customHeight="1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</row>
    <row r="84" spans="1:26" ht="12.75" customHeight="1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</row>
    <row r="85" spans="1:26" ht="12.75" customHeight="1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</row>
    <row r="86" spans="1:26" ht="12.75" customHeight="1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</row>
    <row r="87" spans="1:26" ht="12.75" customHeight="1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</row>
    <row r="88" spans="1:26" ht="12.75" customHeight="1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</row>
    <row r="89" spans="1:26" ht="12.75" customHeight="1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</row>
    <row r="90" spans="1:26" ht="12.75" customHeight="1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</row>
    <row r="91" spans="1:26" ht="12.75" customHeight="1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</row>
    <row r="92" spans="1:26" ht="12.75" customHeight="1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</row>
    <row r="93" spans="1:26" ht="12.75" customHeight="1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</row>
    <row r="94" spans="1:26" ht="12.75" customHeight="1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</row>
    <row r="95" spans="1:26" ht="12.75" customHeight="1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</row>
    <row r="96" spans="1:26" ht="12.75" customHeight="1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</row>
    <row r="97" spans="1:26" ht="12.75" customHeight="1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</row>
    <row r="98" spans="1:26" ht="12.75" customHeight="1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</row>
    <row r="99" spans="1:26" ht="12.75" customHeight="1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</row>
    <row r="100" spans="1:26" ht="12.75" customHeight="1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</row>
    <row r="101" spans="1:26" ht="12.75" customHeight="1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</row>
    <row r="102" spans="1:26" ht="12.75" customHeight="1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</row>
    <row r="103" spans="1:26" ht="12.75" customHeight="1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</row>
    <row r="104" spans="1:26" ht="12.75" customHeight="1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</row>
    <row r="105" spans="1:26" ht="12.75" customHeight="1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</row>
    <row r="106" spans="1:26" ht="12.75" customHeight="1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</row>
    <row r="107" spans="1:26" ht="12.75" customHeight="1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</row>
    <row r="108" spans="1:26" ht="12.75" customHeight="1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</row>
    <row r="109" spans="1:26" ht="12.75" customHeight="1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</row>
    <row r="110" spans="1:26" ht="12.75" customHeight="1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</row>
    <row r="111" spans="1:26" ht="12.75" customHeight="1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</row>
    <row r="112" spans="1:26" ht="12.75" customHeight="1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</row>
    <row r="113" spans="1:26" ht="12.75" customHeight="1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</row>
    <row r="114" spans="1:26" ht="12.75" customHeight="1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</row>
    <row r="115" spans="1:26" ht="12.75" customHeight="1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</row>
    <row r="116" spans="1:26" ht="12.75" customHeight="1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</row>
    <row r="117" spans="1:26" ht="12.75" customHeight="1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</row>
    <row r="118" spans="1:26" ht="12.75" customHeight="1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</row>
    <row r="119" spans="1:26" ht="12.75" customHeight="1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</row>
    <row r="120" spans="1:26" ht="12.75" customHeight="1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</row>
    <row r="121" spans="1:26" ht="12.75" customHeight="1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</row>
    <row r="122" spans="1:26" ht="12.75" customHeight="1">
      <c r="A122" s="98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</row>
    <row r="123" spans="1:26" ht="12.75" customHeight="1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</row>
    <row r="124" spans="1:26" ht="12.75" customHeight="1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</row>
    <row r="125" spans="1:26" ht="12.75" customHeight="1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</row>
    <row r="126" spans="1:26" ht="12.75" customHeight="1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</row>
    <row r="127" spans="1:26" ht="12.75" customHeight="1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</row>
    <row r="128" spans="1:26" ht="12.75" customHeight="1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</row>
    <row r="129" spans="1:26" ht="12.75" customHeight="1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</row>
    <row r="130" spans="1:26" ht="12.75" customHeight="1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</row>
    <row r="131" spans="1:26" ht="12.75" customHeight="1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</row>
    <row r="132" spans="1:26" ht="12.75" customHeight="1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</row>
    <row r="133" spans="1:26" ht="12.75" customHeight="1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</row>
    <row r="134" spans="1:26" ht="12.75" customHeight="1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</row>
    <row r="135" spans="1:26" ht="12.75" customHeight="1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</row>
    <row r="136" spans="1:26" ht="12.75" customHeight="1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</row>
    <row r="137" spans="1:26" ht="12.75" customHeight="1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</row>
    <row r="138" spans="1:26" ht="12.75" customHeight="1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</row>
    <row r="139" spans="1:26" ht="12.75" customHeight="1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</row>
    <row r="140" spans="1:26" ht="12.75" customHeight="1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</row>
    <row r="141" spans="1:26" ht="12.75" customHeight="1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</row>
    <row r="142" spans="1:26" ht="12.75" customHeight="1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</row>
    <row r="143" spans="1:26" ht="12.75" customHeight="1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</row>
    <row r="144" spans="1:26" ht="12.75" customHeight="1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</row>
    <row r="145" spans="1:26" ht="12.75" customHeight="1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</row>
    <row r="146" spans="1:26" ht="12.75" customHeight="1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</row>
    <row r="147" spans="1:26" ht="12.75" customHeight="1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</row>
    <row r="148" spans="1:26" ht="12.75" customHeight="1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</row>
    <row r="149" spans="1:26" ht="12.75" customHeight="1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</row>
    <row r="150" spans="1:26" ht="12.75" customHeight="1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</row>
    <row r="151" spans="1:26" ht="12.75" customHeight="1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</row>
    <row r="152" spans="1:26" ht="12.75" customHeight="1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</row>
    <row r="153" spans="1:26" ht="12.75" customHeight="1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</row>
    <row r="154" spans="1:26" ht="12.75" customHeight="1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</row>
    <row r="155" spans="1:26" ht="12.75" customHeight="1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</row>
    <row r="156" spans="1:26" ht="12.75" customHeight="1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</row>
    <row r="157" spans="1:26" ht="12.75" customHeight="1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</row>
    <row r="158" spans="1:26" ht="12.75" customHeight="1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</row>
    <row r="159" spans="1:26" ht="12.75" customHeight="1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</row>
    <row r="160" spans="1:26" ht="12.75" customHeight="1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</row>
    <row r="161" spans="1:26" ht="12.75" customHeight="1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</row>
    <row r="162" spans="1:26" ht="12.75" customHeight="1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</row>
    <row r="163" spans="1:26" ht="12.75" customHeight="1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</row>
    <row r="164" spans="1:26" ht="12.75" customHeight="1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</row>
    <row r="165" spans="1:26" ht="12.75" customHeight="1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</row>
    <row r="166" spans="1:26" ht="12.75" customHeight="1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</row>
    <row r="167" spans="1:26" ht="12.75" customHeight="1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</row>
    <row r="168" spans="1:26" ht="12.75" customHeight="1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</row>
    <row r="169" spans="1:26" ht="12.75" customHeight="1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</row>
    <row r="170" spans="1:26" ht="12.75" customHeight="1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</row>
    <row r="171" spans="1:26" ht="12.75" customHeight="1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</row>
    <row r="172" spans="1:26" ht="12.75" customHeight="1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</row>
    <row r="173" spans="1:26" ht="12.75" customHeight="1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</row>
    <row r="174" spans="1:26" ht="12.75" customHeight="1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</row>
    <row r="175" spans="1:26" ht="12.75" customHeight="1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</row>
    <row r="176" spans="1:26" ht="12.75" customHeight="1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</row>
    <row r="177" spans="1:26" ht="12.75" customHeight="1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</row>
    <row r="178" spans="1:26" ht="12.75" customHeight="1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</row>
    <row r="179" spans="1:26" ht="12.75" customHeight="1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</row>
    <row r="180" spans="1:26" ht="12.75" customHeight="1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</row>
    <row r="181" spans="1:26" ht="12.75" customHeight="1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</row>
    <row r="182" spans="1:26" ht="12.75" customHeight="1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</row>
    <row r="183" spans="1:26" ht="12.75" customHeight="1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</row>
    <row r="184" spans="1:26" ht="12.75" customHeight="1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</row>
    <row r="185" spans="1:26" ht="12.75" customHeight="1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</row>
    <row r="186" spans="1:26" ht="12.75" customHeight="1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</row>
    <row r="187" spans="1:26" ht="12.75" customHeight="1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</row>
    <row r="188" spans="1:26" ht="12.75" customHeight="1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</row>
    <row r="189" spans="1:26" ht="12.75" customHeight="1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</row>
    <row r="190" spans="1:26" ht="12.75" customHeight="1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</row>
    <row r="191" spans="1:26" ht="12.75" customHeight="1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</row>
    <row r="192" spans="1:26" ht="12.75" customHeight="1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</row>
    <row r="193" spans="1:26" ht="12.75" customHeight="1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</row>
    <row r="194" spans="1:26" ht="12.75" customHeight="1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</row>
    <row r="195" spans="1:26" ht="12.75" customHeight="1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</row>
    <row r="196" spans="1:26" ht="12.75" customHeight="1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</row>
    <row r="197" spans="1:26" ht="12.75" customHeight="1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</row>
    <row r="198" spans="1:26" ht="12.75" customHeight="1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</row>
    <row r="199" spans="1:26" ht="12.75" customHeight="1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</row>
    <row r="200" spans="1:26" ht="12.75" customHeight="1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</row>
    <row r="201" spans="1:26" ht="12.75" customHeight="1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</row>
    <row r="202" spans="1:26" ht="12.75" customHeight="1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</row>
    <row r="203" spans="1:26" ht="12.75" customHeight="1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</row>
    <row r="204" spans="1:26" ht="12.75" customHeight="1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</row>
    <row r="205" spans="1:26" ht="12.75" customHeight="1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</row>
    <row r="206" spans="1:26" ht="12.75" customHeight="1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</row>
    <row r="207" spans="1:26" ht="12.75" customHeight="1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</row>
    <row r="208" spans="1:26" ht="12.75" customHeight="1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</row>
    <row r="209" spans="1:26" ht="12.75" customHeight="1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</row>
    <row r="210" spans="1:26" ht="12.75" customHeight="1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</row>
    <row r="211" spans="1:26" ht="12.75" customHeight="1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</row>
    <row r="212" spans="1:26" ht="12.75" customHeight="1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</row>
    <row r="213" spans="1:26" ht="12.75" customHeight="1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</row>
    <row r="214" spans="1:26" ht="12.75" customHeight="1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</row>
    <row r="215" spans="1:26" ht="12.75" customHeight="1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</row>
    <row r="216" spans="1:26" ht="12.75" customHeight="1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</row>
    <row r="217" spans="1:26" ht="12.75" customHeight="1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</row>
    <row r="218" spans="1:26" ht="12.75" customHeight="1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</row>
    <row r="219" spans="1:26" ht="12.75" customHeight="1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</row>
    <row r="220" spans="1:26" ht="12.75" customHeight="1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</row>
    <row r="221" spans="1:26" ht="12.75" customHeight="1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</row>
    <row r="222" spans="1:26" ht="12.75" customHeight="1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</row>
    <row r="223" spans="1:26" ht="12.75" customHeight="1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</row>
    <row r="224" spans="1:26" ht="12.75" customHeight="1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</row>
    <row r="225" spans="1:26" ht="12.75" customHeight="1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</row>
    <row r="226" spans="1:26" ht="12.75" customHeight="1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</row>
    <row r="227" spans="1:26" ht="12.75" customHeight="1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</row>
    <row r="228" spans="1:26" ht="12.75" customHeight="1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</row>
    <row r="229" spans="1:26" ht="12.75" customHeight="1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</row>
    <row r="230" spans="1:26" ht="12.75" customHeight="1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</row>
    <row r="231" spans="1:26" ht="12.75" customHeight="1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</row>
    <row r="232" spans="1:26" ht="12.75" customHeight="1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</row>
    <row r="233" spans="1:26" ht="12.75" customHeight="1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</row>
    <row r="234" spans="1:26" ht="12.75" customHeight="1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</row>
    <row r="235" spans="1:26" ht="12.75" customHeight="1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</row>
    <row r="236" spans="1:26" ht="12.75" customHeight="1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</row>
    <row r="237" spans="1:26" ht="12.75" customHeight="1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</row>
    <row r="238" spans="1:26" ht="12.75" customHeight="1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</row>
    <row r="239" spans="1:26" ht="12.75" customHeight="1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</row>
    <row r="240" spans="1:26" ht="12.75" customHeight="1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</row>
    <row r="241" spans="1:26" ht="12.75" customHeight="1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</row>
    <row r="242" spans="1:26" ht="12.75" customHeight="1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</row>
    <row r="243" spans="1:26" ht="12.75" customHeight="1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</row>
    <row r="244" spans="1:26" ht="12.75" customHeight="1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</row>
    <row r="245" spans="1:26" ht="12.75" customHeight="1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</row>
    <row r="246" spans="1:26" ht="12.75" customHeight="1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</row>
    <row r="247" spans="1:26" ht="12.75" customHeight="1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</row>
    <row r="248" spans="1:26" ht="12.75" customHeight="1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</row>
    <row r="249" spans="1:26" ht="12.75" customHeight="1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 spans="1:26" ht="12.75" customHeight="1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</row>
    <row r="251" spans="1:26" ht="12.75" customHeight="1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</row>
    <row r="252" spans="1:26" ht="12.75" customHeight="1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</row>
    <row r="253" spans="1:26" ht="12.75" customHeight="1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</row>
    <row r="254" spans="1:26" ht="12.75" customHeight="1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</row>
    <row r="255" spans="1:26" ht="12.75" customHeight="1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</row>
    <row r="256" spans="1:26" ht="12.75" customHeight="1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</row>
    <row r="257" spans="1:26" ht="12.75" customHeight="1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</row>
    <row r="258" spans="1:26" ht="12.75" customHeight="1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</row>
    <row r="259" spans="1:26" ht="12.75" customHeight="1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</row>
    <row r="260" spans="1:26" ht="12.75" customHeight="1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</row>
    <row r="261" spans="1:26" ht="12.75" customHeight="1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</row>
    <row r="262" spans="1:26" ht="12.75" customHeight="1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</row>
    <row r="263" spans="1:26" ht="12.75" customHeight="1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</row>
    <row r="264" spans="1:26" ht="12.75" customHeight="1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</row>
    <row r="265" spans="1:26" ht="12.75" customHeight="1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</row>
    <row r="266" spans="1:26" ht="12.75" customHeight="1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</row>
    <row r="267" spans="1:26" ht="12.75" customHeight="1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</row>
    <row r="268" spans="1:26" ht="12.75" customHeight="1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</row>
    <row r="269" spans="1:26" ht="12.75" customHeight="1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</row>
    <row r="270" spans="1:26" ht="12.75" customHeight="1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</row>
    <row r="271" spans="1:26" ht="12.75" customHeight="1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</row>
    <row r="272" spans="1:26" ht="12.75" customHeight="1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</row>
    <row r="273" spans="1:26" ht="12.75" customHeight="1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</row>
    <row r="274" spans="1:26" ht="12.75" customHeight="1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</row>
    <row r="275" spans="1:26" ht="12.75" customHeight="1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</row>
    <row r="276" spans="1:26" ht="12.75" customHeight="1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</row>
    <row r="277" spans="1:26" ht="12.75" customHeight="1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</row>
    <row r="278" spans="1:26" ht="12.75" customHeight="1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</row>
    <row r="279" spans="1:26" ht="12.75" customHeight="1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</row>
    <row r="280" spans="1:26" ht="12.75" customHeight="1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</row>
    <row r="281" spans="1:26" ht="12.75" customHeight="1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</row>
    <row r="282" spans="1:26" ht="12.75" customHeight="1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</row>
    <row r="283" spans="1:26" ht="12.75" customHeight="1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</row>
    <row r="284" spans="1:26" ht="12.75" customHeight="1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</row>
    <row r="285" spans="1:26" ht="12.75" customHeight="1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</row>
    <row r="286" spans="1:26" ht="12.75" customHeight="1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</row>
    <row r="287" spans="1:26" ht="12.75" customHeight="1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</row>
    <row r="288" spans="1:26" ht="12.75" customHeight="1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</row>
    <row r="289" spans="1:26" ht="12.75" customHeight="1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</row>
    <row r="290" spans="1:26" ht="12.75" customHeight="1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</row>
    <row r="291" spans="1:26" ht="12.75" customHeight="1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</row>
    <row r="292" spans="1:26" ht="12.75" customHeight="1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</row>
    <row r="293" spans="1:26" ht="12.75" customHeight="1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</row>
    <row r="294" spans="1:26" ht="12.75" customHeight="1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</row>
    <row r="295" spans="1:26" ht="12.75" customHeight="1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</row>
    <row r="296" spans="1:26" ht="12.75" customHeight="1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</row>
    <row r="297" spans="1:26" ht="12.75" customHeight="1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</row>
    <row r="298" spans="1:26" ht="12.75" customHeight="1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</row>
    <row r="299" spans="1:26" ht="12.75" customHeight="1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</row>
    <row r="300" spans="1:26" ht="12.75" customHeight="1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</row>
    <row r="301" spans="1:26" ht="12.75" customHeight="1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</row>
    <row r="302" spans="1:26" ht="12.75" customHeight="1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</row>
    <row r="303" spans="1:26" ht="12.75" customHeight="1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</row>
    <row r="304" spans="1:26" ht="12.75" customHeight="1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</row>
    <row r="305" spans="1:26" ht="12.75" customHeight="1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</row>
    <row r="306" spans="1:26" ht="12.75" customHeight="1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</row>
    <row r="307" spans="1:26" ht="12.75" customHeight="1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</row>
    <row r="308" spans="1:26" ht="12.75" customHeight="1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</row>
    <row r="309" spans="1:26" ht="12.75" customHeight="1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</row>
    <row r="310" spans="1:26" ht="12.75" customHeight="1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</row>
    <row r="311" spans="1:26" ht="12.75" customHeight="1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</row>
    <row r="312" spans="1:26" ht="12.75" customHeight="1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</row>
    <row r="313" spans="1:26" ht="12.75" customHeight="1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</row>
    <row r="314" spans="1:26" ht="12.75" customHeight="1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</row>
    <row r="315" spans="1:26" ht="12.75" customHeight="1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</row>
    <row r="316" spans="1:26" ht="12.75" customHeight="1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</row>
    <row r="317" spans="1:26" ht="12.75" customHeight="1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</row>
    <row r="318" spans="1:26" ht="12.75" customHeight="1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</row>
    <row r="319" spans="1:26" ht="12.75" customHeight="1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</row>
    <row r="320" spans="1:26" ht="12.75" customHeight="1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</row>
    <row r="321" spans="1:26" ht="12.75" customHeight="1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</row>
    <row r="322" spans="1:26" ht="12.75" customHeight="1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</row>
    <row r="323" spans="1:26" ht="12.75" customHeight="1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</row>
    <row r="324" spans="1:26" ht="12.75" customHeight="1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</row>
    <row r="325" spans="1:26" ht="12.75" customHeight="1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</row>
    <row r="326" spans="1:26" ht="12.75" customHeight="1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</row>
    <row r="327" spans="1:26" ht="12.75" customHeight="1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</row>
    <row r="328" spans="1:26" ht="12.75" customHeight="1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</row>
    <row r="329" spans="1:26" ht="12.75" customHeight="1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</row>
    <row r="330" spans="1:26" ht="12.75" customHeight="1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</row>
    <row r="331" spans="1:26" ht="12.75" customHeight="1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</row>
    <row r="332" spans="1:26" ht="12.75" customHeight="1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</row>
    <row r="333" spans="1:26" ht="12.75" customHeight="1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</row>
    <row r="334" spans="1:26" ht="12.75" customHeight="1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</row>
    <row r="335" spans="1:26" ht="12.75" customHeight="1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</row>
    <row r="336" spans="1:26" ht="12.75" customHeight="1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</row>
    <row r="337" spans="1:26" ht="12.75" customHeight="1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</row>
    <row r="338" spans="1:26" ht="12.75" customHeight="1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</row>
    <row r="339" spans="1:26" ht="12.75" customHeight="1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</row>
    <row r="340" spans="1:26" ht="12.75" customHeight="1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</row>
    <row r="341" spans="1:26" ht="12.75" customHeight="1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</row>
    <row r="342" spans="1:26" ht="12.75" customHeight="1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</row>
    <row r="343" spans="1:26" ht="12.75" customHeight="1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</row>
    <row r="344" spans="1:26" ht="12.75" customHeight="1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</row>
    <row r="345" spans="1:26" ht="12.75" customHeight="1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</row>
    <row r="346" spans="1:26" ht="12.75" customHeight="1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</row>
    <row r="347" spans="1:26" ht="12.75" customHeight="1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</row>
    <row r="348" spans="1:26" ht="12.75" customHeight="1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</row>
    <row r="349" spans="1:26" ht="12.75" customHeight="1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</row>
    <row r="350" spans="1:26" ht="12.75" customHeight="1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</row>
    <row r="351" spans="1:26" ht="12.75" customHeight="1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</row>
    <row r="352" spans="1:26" ht="12.75" customHeight="1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</row>
    <row r="353" spans="1:26" ht="12.75" customHeight="1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</row>
    <row r="354" spans="1:26" ht="12.75" customHeight="1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</row>
    <row r="355" spans="1:26" ht="12.75" customHeight="1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</row>
    <row r="356" spans="1:26" ht="12.75" customHeight="1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</row>
    <row r="357" spans="1:26" ht="12.75" customHeight="1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</row>
    <row r="358" spans="1:26" ht="12.75" customHeight="1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</row>
    <row r="359" spans="1:26" ht="12.75" customHeight="1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</row>
    <row r="360" spans="1:26" ht="12.75" customHeight="1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</row>
    <row r="361" spans="1:26" ht="12.75" customHeight="1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</row>
    <row r="362" spans="1:26" ht="12.75" customHeight="1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</row>
    <row r="363" spans="1:26" ht="12.75" customHeight="1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</row>
    <row r="364" spans="1:26" ht="12.75" customHeight="1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</row>
    <row r="365" spans="1:26" ht="12.75" customHeight="1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</row>
    <row r="366" spans="1:26" ht="12.75" customHeight="1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</row>
    <row r="367" spans="1:26" ht="12.75" customHeight="1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</row>
    <row r="368" spans="1:26" ht="12.75" customHeight="1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</row>
    <row r="369" spans="1:26" ht="12.75" customHeight="1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</row>
    <row r="370" spans="1:26" ht="12.75" customHeight="1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</row>
    <row r="371" spans="1:26" ht="12.75" customHeight="1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</row>
    <row r="372" spans="1:26" ht="12.75" customHeight="1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</row>
    <row r="373" spans="1:26" ht="12.75" customHeight="1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</row>
    <row r="374" spans="1:26" ht="12.75" customHeight="1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</row>
    <row r="375" spans="1:26" ht="12.75" customHeight="1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</row>
    <row r="376" spans="1:26" ht="12.75" customHeight="1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</row>
    <row r="377" spans="1:26" ht="12.75" customHeight="1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</row>
    <row r="378" spans="1:26" ht="12.75" customHeight="1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</row>
    <row r="379" spans="1:26" ht="12.75" customHeight="1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</row>
    <row r="380" spans="1:26" ht="12.75" customHeight="1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</row>
    <row r="381" spans="1:26" ht="12.75" customHeight="1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</row>
    <row r="382" spans="1:26" ht="12.75" customHeight="1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</row>
    <row r="383" spans="1:26" ht="12.75" customHeight="1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</row>
    <row r="384" spans="1:26" ht="12.75" customHeight="1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</row>
    <row r="385" spans="1:26" ht="12.75" customHeight="1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</row>
    <row r="386" spans="1:26" ht="12.75" customHeight="1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</row>
    <row r="387" spans="1:26" ht="12.75" customHeight="1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</row>
    <row r="388" spans="1:26" ht="12.75" customHeight="1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</row>
    <row r="389" spans="1:26" ht="12.75" customHeight="1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</row>
    <row r="390" spans="1:26" ht="12.75" customHeight="1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</row>
    <row r="391" spans="1:26" ht="12.75" customHeight="1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</row>
    <row r="392" spans="1:26" ht="12.75" customHeight="1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</row>
    <row r="393" spans="1:26" ht="12.75" customHeight="1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</row>
    <row r="394" spans="1:26" ht="12.75" customHeight="1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</row>
    <row r="395" spans="1:26" ht="12.75" customHeight="1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</row>
    <row r="396" spans="1:26" ht="12.75" customHeight="1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</row>
    <row r="397" spans="1:26" ht="12.75" customHeight="1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</row>
    <row r="398" spans="1:26" ht="12.75" customHeight="1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</row>
    <row r="399" spans="1:26" ht="12.75" customHeight="1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</row>
    <row r="400" spans="1:26" ht="12.75" customHeight="1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</row>
    <row r="401" spans="1:26" ht="12.75" customHeight="1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</row>
    <row r="402" spans="1:26" ht="12.75" customHeight="1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</row>
    <row r="403" spans="1:26" ht="12.75" customHeight="1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</row>
    <row r="404" spans="1:26" ht="12.75" customHeight="1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</row>
    <row r="405" spans="1:26" ht="12.75" customHeight="1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</row>
    <row r="406" spans="1:26" ht="12.75" customHeight="1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</row>
    <row r="407" spans="1:26" ht="12.75" customHeight="1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</row>
    <row r="408" spans="1:26" ht="12.75" customHeight="1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</row>
    <row r="409" spans="1:26" ht="12.75" customHeight="1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</row>
    <row r="410" spans="1:26" ht="12.75" customHeight="1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</row>
    <row r="411" spans="1:26" ht="12.75" customHeight="1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</row>
    <row r="412" spans="1:26" ht="12.75" customHeight="1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</row>
    <row r="413" spans="1:26" ht="12.75" customHeight="1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</row>
    <row r="414" spans="1:26" ht="12.75" customHeight="1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</row>
    <row r="415" spans="1:26" ht="12.75" customHeight="1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</row>
    <row r="416" spans="1:26" ht="12.75" customHeight="1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</row>
    <row r="417" spans="1:26" ht="12.75" customHeight="1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</row>
    <row r="418" spans="1:26" ht="12.75" customHeight="1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</row>
    <row r="419" spans="1:26" ht="12.75" customHeight="1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</row>
    <row r="420" spans="1:26" ht="12.75" customHeight="1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</row>
    <row r="421" spans="1:26" ht="12.75" customHeight="1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</row>
    <row r="422" spans="1:26" ht="12.75" customHeight="1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</row>
    <row r="423" spans="1:26" ht="12.75" customHeight="1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</row>
    <row r="424" spans="1:26" ht="12.75" customHeight="1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</row>
    <row r="425" spans="1:26" ht="12.75" customHeight="1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</row>
    <row r="426" spans="1:26" ht="12.75" customHeight="1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</row>
    <row r="427" spans="1:26" ht="12.75" customHeight="1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</row>
    <row r="428" spans="1:26" ht="12.75" customHeight="1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</row>
    <row r="429" spans="1:26" ht="12.75" customHeight="1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</row>
    <row r="430" spans="1:26" ht="12.75" customHeight="1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</row>
    <row r="431" spans="1:26" ht="12.75" customHeight="1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</row>
    <row r="432" spans="1:26" ht="12.75" customHeight="1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</row>
    <row r="433" spans="1:26" ht="12.75" customHeight="1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</row>
    <row r="434" spans="1:26" ht="12.75" customHeight="1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</row>
    <row r="435" spans="1:26" ht="12.75" customHeight="1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</row>
    <row r="436" spans="1:26" ht="12.75" customHeight="1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</row>
    <row r="437" spans="1:26" ht="12.75" customHeight="1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</row>
    <row r="438" spans="1:26" ht="12.75" customHeight="1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</row>
    <row r="439" spans="1:26" ht="12.75" customHeight="1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</row>
    <row r="440" spans="1:26" ht="12.75" customHeight="1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</row>
    <row r="441" spans="1:26" ht="12.75" customHeight="1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</row>
    <row r="442" spans="1:26" ht="12.75" customHeight="1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</row>
    <row r="443" spans="1:26" ht="12.75" customHeight="1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</row>
    <row r="444" spans="1:26" ht="12.75" customHeight="1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</row>
    <row r="445" spans="1:26" ht="12.75" customHeight="1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</row>
    <row r="446" spans="1:26" ht="12.75" customHeight="1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</row>
    <row r="447" spans="1:26" ht="12.75" customHeight="1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</row>
    <row r="448" spans="1:26" ht="12.75" customHeight="1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</row>
    <row r="449" spans="1:26" ht="12.75" customHeight="1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</row>
    <row r="450" spans="1:26" ht="12.75" customHeight="1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</row>
    <row r="451" spans="1:26" ht="12.75" customHeight="1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</row>
    <row r="452" spans="1:26" ht="12.75" customHeight="1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</row>
    <row r="453" spans="1:26" ht="12.75" customHeight="1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</row>
    <row r="454" spans="1:26" ht="12.75" customHeight="1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</row>
    <row r="455" spans="1:26" ht="12.75" customHeight="1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</row>
    <row r="456" spans="1:26" ht="12.75" customHeight="1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</row>
    <row r="457" spans="1:26" ht="12.75" customHeight="1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</row>
    <row r="458" spans="1:26" ht="12.75" customHeight="1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</row>
    <row r="459" spans="1:26" ht="12.75" customHeight="1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</row>
    <row r="460" spans="1:26" ht="12.75" customHeight="1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</row>
    <row r="461" spans="1:26" ht="12.75" customHeight="1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</row>
    <row r="462" spans="1:26" ht="12.75" customHeight="1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</row>
    <row r="463" spans="1:26" ht="12.75" customHeight="1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</row>
    <row r="464" spans="1:26" ht="12.75" customHeight="1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</row>
    <row r="465" spans="1:26" ht="12.75" customHeight="1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</row>
    <row r="466" spans="1:26" ht="12.75" customHeight="1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</row>
    <row r="467" spans="1:26" ht="12.75" customHeight="1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</row>
    <row r="468" spans="1:26" ht="12.75" customHeight="1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</row>
    <row r="469" spans="1:26" ht="12.75" customHeight="1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</row>
    <row r="470" spans="1:26" ht="12.75" customHeight="1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</row>
    <row r="471" spans="1:26" ht="12.75" customHeight="1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</row>
    <row r="472" spans="1:26" ht="12.75" customHeight="1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</row>
    <row r="473" spans="1:26" ht="12.75" customHeight="1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</row>
    <row r="474" spans="1:26" ht="12.75" customHeight="1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</row>
    <row r="475" spans="1:26" ht="12.75" customHeight="1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</row>
    <row r="476" spans="1:26" ht="12.75" customHeight="1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</row>
    <row r="477" spans="1:26" ht="12.75" customHeight="1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</row>
    <row r="478" spans="1:26" ht="12.75" customHeight="1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</row>
    <row r="479" spans="1:26" ht="12.75" customHeight="1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</row>
    <row r="480" spans="1:26" ht="12.75" customHeight="1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</row>
    <row r="481" spans="1:26" ht="12.75" customHeight="1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</row>
    <row r="482" spans="1:26" ht="12.75" customHeight="1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</row>
    <row r="483" spans="1:26" ht="12.75" customHeight="1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</row>
    <row r="484" spans="1:26" ht="12.75" customHeight="1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</row>
    <row r="485" spans="1:26" ht="12.75" customHeight="1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</row>
    <row r="486" spans="1:26" ht="12.75" customHeight="1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</row>
    <row r="487" spans="1:26" ht="12.75" customHeight="1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</row>
    <row r="488" spans="1:26" ht="12.75" customHeight="1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</row>
    <row r="489" spans="1:26" ht="12.75" customHeight="1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</row>
    <row r="490" spans="1:26" ht="12.75" customHeight="1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</row>
    <row r="491" spans="1:26" ht="12.75" customHeight="1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</row>
    <row r="492" spans="1:26" ht="12.75" customHeight="1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</row>
    <row r="493" spans="1:26" ht="12.75" customHeight="1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</row>
    <row r="494" spans="1:26" ht="12.75" customHeight="1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</row>
    <row r="495" spans="1:26" ht="12.75" customHeight="1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</row>
    <row r="496" spans="1:26" ht="12.75" customHeight="1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</row>
    <row r="497" spans="1:26" ht="12.75" customHeight="1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</row>
    <row r="498" spans="1:26" ht="12.75" customHeight="1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</row>
    <row r="499" spans="1:26" ht="12.75" customHeight="1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</row>
    <row r="500" spans="1:26" ht="12.75" customHeight="1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</row>
    <row r="501" spans="1:26" ht="12.75" customHeight="1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</row>
    <row r="502" spans="1:26" ht="12.75" customHeight="1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</row>
    <row r="503" spans="1:26" ht="12.75" customHeight="1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</row>
    <row r="504" spans="1:26" ht="12.75" customHeight="1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</row>
    <row r="505" spans="1:26" ht="12.75" customHeight="1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</row>
    <row r="506" spans="1:26" ht="12.75" customHeight="1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</row>
    <row r="507" spans="1:26" ht="12.75" customHeight="1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</row>
    <row r="508" spans="1:26" ht="12.75" customHeight="1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</row>
    <row r="509" spans="1:26" ht="12.75" customHeight="1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</row>
    <row r="510" spans="1:26" ht="12.75" customHeight="1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</row>
    <row r="511" spans="1:26" ht="12.75" customHeight="1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</row>
    <row r="512" spans="1:26" ht="12.75" customHeight="1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</row>
    <row r="513" spans="1:26" ht="12.75" customHeight="1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</row>
    <row r="514" spans="1:26" ht="12.75" customHeight="1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</row>
    <row r="515" spans="1:26" ht="12.75" customHeight="1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</row>
    <row r="516" spans="1:26" ht="12.75" customHeight="1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</row>
    <row r="517" spans="1:26" ht="12.75" customHeight="1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</row>
    <row r="518" spans="1:26" ht="12.75" customHeight="1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</row>
    <row r="519" spans="1:26" ht="12.75" customHeight="1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</row>
    <row r="520" spans="1:26" ht="12.75" customHeight="1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</row>
    <row r="521" spans="1:26" ht="12.75" customHeight="1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</row>
    <row r="522" spans="1:26" ht="12.75" customHeight="1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</row>
    <row r="523" spans="1:26" ht="12.75" customHeight="1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</row>
    <row r="524" spans="1:26" ht="12.75" customHeight="1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</row>
    <row r="525" spans="1:26" ht="12.75" customHeight="1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</row>
    <row r="526" spans="1:26" ht="12.75" customHeight="1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</row>
    <row r="527" spans="1:26" ht="12.75" customHeight="1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</row>
    <row r="528" spans="1:26" ht="12.75" customHeight="1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</row>
    <row r="529" spans="1:26" ht="12.75" customHeight="1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</row>
    <row r="530" spans="1:26" ht="12.75" customHeight="1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</row>
    <row r="531" spans="1:26" ht="12.75" customHeight="1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</row>
    <row r="532" spans="1:26" ht="12.75" customHeight="1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</row>
    <row r="533" spans="1:26" ht="12.75" customHeight="1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</row>
    <row r="534" spans="1:26" ht="12.75" customHeight="1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</row>
    <row r="535" spans="1:26" ht="12.75" customHeight="1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</row>
    <row r="536" spans="1:26" ht="12.75" customHeight="1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</row>
    <row r="537" spans="1:26" ht="12.75" customHeight="1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</row>
    <row r="538" spans="1:26" ht="12.75" customHeight="1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</row>
    <row r="539" spans="1:26" ht="12.75" customHeight="1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</row>
    <row r="540" spans="1:26" ht="12.75" customHeight="1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</row>
    <row r="541" spans="1:26" ht="12.75" customHeight="1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</row>
    <row r="542" spans="1:26" ht="12.75" customHeight="1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</row>
    <row r="543" spans="1:26" ht="12.75" customHeight="1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</row>
    <row r="544" spans="1:26" ht="12.75" customHeight="1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</row>
    <row r="545" spans="1:26" ht="12.75" customHeight="1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</row>
    <row r="546" spans="1:26" ht="12.75" customHeight="1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</row>
    <row r="547" spans="1:26" ht="12.75" customHeight="1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</row>
    <row r="548" spans="1:26" ht="12.75" customHeight="1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</row>
    <row r="549" spans="1:26" ht="12.75" customHeight="1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</row>
    <row r="550" spans="1:26" ht="12.75" customHeight="1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</row>
    <row r="551" spans="1:26" ht="12.75" customHeight="1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</row>
    <row r="552" spans="1:26" ht="12.75" customHeight="1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</row>
    <row r="553" spans="1:26" ht="12.75" customHeight="1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</row>
    <row r="554" spans="1:26" ht="12.75" customHeight="1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</row>
    <row r="555" spans="1:26" ht="12.75" customHeight="1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</row>
    <row r="556" spans="1:26" ht="12.75" customHeight="1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</row>
    <row r="557" spans="1:26" ht="12.75" customHeight="1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</row>
    <row r="558" spans="1:26" ht="12.75" customHeight="1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</row>
    <row r="559" spans="1:26" ht="12.75" customHeight="1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</row>
    <row r="560" spans="1:26" ht="12.75" customHeight="1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</row>
    <row r="561" spans="1:26" ht="12.75" customHeight="1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</row>
    <row r="562" spans="1:26" ht="12.75" customHeight="1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</row>
    <row r="563" spans="1:26" ht="12.75" customHeight="1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</row>
    <row r="564" spans="1:26" ht="12.75" customHeight="1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</row>
    <row r="565" spans="1:26" ht="12.75" customHeight="1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</row>
    <row r="566" spans="1:26" ht="12.75" customHeight="1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</row>
    <row r="567" spans="1:26" ht="12.75" customHeight="1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</row>
    <row r="568" spans="1:26" ht="12.75" customHeight="1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</row>
    <row r="569" spans="1:26" ht="12.75" customHeight="1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</row>
    <row r="570" spans="1:26" ht="12.75" customHeight="1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</row>
    <row r="571" spans="1:26" ht="12.75" customHeight="1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</row>
    <row r="572" spans="1:26" ht="12.75" customHeight="1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</row>
    <row r="573" spans="1:26" ht="12.75" customHeight="1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</row>
    <row r="574" spans="1:26" ht="12.75" customHeight="1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</row>
    <row r="575" spans="1:26" ht="12.75" customHeight="1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</row>
    <row r="576" spans="1:26" ht="12.75" customHeight="1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</row>
    <row r="577" spans="1:26" ht="12.75" customHeight="1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</row>
    <row r="578" spans="1:26" ht="12.75" customHeight="1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</row>
    <row r="579" spans="1:26" ht="12.75" customHeight="1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</row>
    <row r="580" spans="1:26" ht="12.75" customHeight="1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</row>
    <row r="581" spans="1:26" ht="12.75" customHeight="1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</row>
    <row r="582" spans="1:26" ht="12.75" customHeight="1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</row>
    <row r="583" spans="1:26" ht="12.75" customHeight="1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</row>
    <row r="584" spans="1:26" ht="12.75" customHeight="1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</row>
    <row r="585" spans="1:26" ht="12.75" customHeight="1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</row>
    <row r="586" spans="1:26" ht="12.75" customHeight="1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</row>
    <row r="587" spans="1:26" ht="12.75" customHeight="1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</row>
    <row r="588" spans="1:26" ht="12.75" customHeight="1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</row>
    <row r="589" spans="1:26" ht="12.75" customHeight="1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</row>
    <row r="590" spans="1:26" ht="12.75" customHeight="1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</row>
    <row r="591" spans="1:26" ht="12.75" customHeight="1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</row>
    <row r="592" spans="1:26" ht="12.75" customHeight="1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</row>
    <row r="593" spans="1:26" ht="12.75" customHeight="1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</row>
    <row r="594" spans="1:26" ht="12.75" customHeight="1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</row>
    <row r="595" spans="1:26" ht="12.75" customHeight="1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</row>
    <row r="596" spans="1:26" ht="12.75" customHeight="1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</row>
    <row r="597" spans="1:26" ht="12.75" customHeight="1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</row>
    <row r="598" spans="1:26" ht="12.75" customHeight="1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</row>
    <row r="599" spans="1:26" ht="12.75" customHeight="1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</row>
    <row r="600" spans="1:26" ht="12.75" customHeight="1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</row>
    <row r="601" spans="1:26" ht="12.75" customHeight="1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</row>
    <row r="602" spans="1:26" ht="12.75" customHeight="1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</row>
    <row r="603" spans="1:26" ht="12.75" customHeight="1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</row>
    <row r="604" spans="1:26" ht="12.75" customHeight="1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</row>
    <row r="605" spans="1:26" ht="12.75" customHeight="1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</row>
    <row r="606" spans="1:26" ht="12.75" customHeight="1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</row>
    <row r="607" spans="1:26" ht="12.75" customHeight="1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</row>
    <row r="608" spans="1:26" ht="12.75" customHeight="1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</row>
    <row r="609" spans="1:26" ht="12.75" customHeight="1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</row>
    <row r="610" spans="1:26" ht="12.75" customHeight="1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</row>
    <row r="611" spans="1:26" ht="12.75" customHeight="1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</row>
    <row r="612" spans="1:26" ht="12.75" customHeight="1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</row>
    <row r="613" spans="1:26" ht="12.75" customHeight="1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</row>
    <row r="614" spans="1:26" ht="12.75" customHeight="1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</row>
    <row r="615" spans="1:26" ht="12.75" customHeight="1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</row>
    <row r="616" spans="1:26" ht="12.75" customHeight="1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</row>
    <row r="617" spans="1:26" ht="12.75" customHeight="1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</row>
    <row r="618" spans="1:26" ht="12.75" customHeight="1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</row>
    <row r="619" spans="1:26" ht="12.75" customHeight="1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</row>
    <row r="620" spans="1:26" ht="12.75" customHeight="1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</row>
    <row r="621" spans="1:26" ht="12.75" customHeight="1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</row>
    <row r="622" spans="1:26" ht="12.75" customHeight="1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</row>
    <row r="623" spans="1:26" ht="12.75" customHeight="1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</row>
    <row r="624" spans="1:26" ht="12.75" customHeight="1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</row>
    <row r="625" spans="1:26" ht="12.75" customHeight="1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</row>
    <row r="626" spans="1:26" ht="12.75" customHeight="1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</row>
    <row r="627" spans="1:26" ht="12.75" customHeight="1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</row>
    <row r="628" spans="1:26" ht="12.75" customHeight="1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</row>
    <row r="629" spans="1:26" ht="12.75" customHeight="1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</row>
    <row r="630" spans="1:26" ht="12.75" customHeight="1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</row>
    <row r="631" spans="1:26" ht="12.75" customHeight="1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</row>
    <row r="632" spans="1:26" ht="12.75" customHeight="1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</row>
    <row r="633" spans="1:26" ht="12.75" customHeight="1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</row>
    <row r="634" spans="1:26" ht="12.75" customHeight="1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</row>
    <row r="635" spans="1:26" ht="12.75" customHeight="1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</row>
    <row r="636" spans="1:26" ht="12.75" customHeight="1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</row>
    <row r="637" spans="1:26" ht="12.75" customHeight="1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</row>
    <row r="638" spans="1:26" ht="12.75" customHeight="1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</row>
    <row r="639" spans="1:26" ht="12.75" customHeight="1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</row>
    <row r="640" spans="1:26" ht="12.75" customHeight="1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</row>
    <row r="641" spans="1:26" ht="12.75" customHeight="1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</row>
    <row r="642" spans="1:26" ht="12.75" customHeight="1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</row>
    <row r="643" spans="1:26" ht="12.75" customHeight="1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</row>
    <row r="644" spans="1:26" ht="12.75" customHeight="1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</row>
    <row r="645" spans="1:26" ht="12.75" customHeight="1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</row>
    <row r="646" spans="1:26" ht="12.75" customHeight="1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</row>
    <row r="647" spans="1:26" ht="12.75" customHeight="1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</row>
    <row r="648" spans="1:26" ht="12.75" customHeight="1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</row>
    <row r="649" spans="1:26" ht="12.75" customHeight="1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</row>
    <row r="650" spans="1:26" ht="12.75" customHeight="1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</row>
    <row r="651" spans="1:26" ht="12.75" customHeight="1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</row>
    <row r="652" spans="1:26" ht="12.75" customHeight="1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</row>
    <row r="653" spans="1:26" ht="12.75" customHeight="1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</row>
    <row r="654" spans="1:26" ht="12.75" customHeight="1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</row>
    <row r="655" spans="1:26" ht="12.75" customHeight="1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</row>
    <row r="656" spans="1:26" ht="12.75" customHeight="1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</row>
    <row r="657" spans="1:26" ht="12.75" customHeight="1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</row>
    <row r="658" spans="1:26" ht="12.75" customHeight="1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</row>
    <row r="659" spans="1:26" ht="12.75" customHeight="1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</row>
    <row r="660" spans="1:26" ht="12.75" customHeight="1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</row>
    <row r="661" spans="1:26" ht="12.75" customHeight="1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</row>
    <row r="662" spans="1:26" ht="12.75" customHeight="1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</row>
    <row r="663" spans="1:26" ht="12.75" customHeight="1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</row>
    <row r="664" spans="1:26" ht="12.75" customHeight="1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</row>
    <row r="665" spans="1:26" ht="12.75" customHeight="1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</row>
    <row r="666" spans="1:26" ht="12.75" customHeight="1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</row>
    <row r="667" spans="1:26" ht="12.75" customHeight="1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</row>
    <row r="668" spans="1:26" ht="12.75" customHeight="1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</row>
    <row r="669" spans="1:26" ht="12.75" customHeight="1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</row>
    <row r="670" spans="1:26" ht="12.75" customHeight="1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</row>
    <row r="671" spans="1:26" ht="12.75" customHeight="1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</row>
    <row r="672" spans="1:26" ht="12.75" customHeight="1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</row>
    <row r="673" spans="1:26" ht="12.75" customHeight="1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</row>
    <row r="674" spans="1:26" ht="12.75" customHeight="1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</row>
    <row r="675" spans="1:26" ht="12.75" customHeight="1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</row>
    <row r="676" spans="1:26" ht="12.75" customHeight="1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</row>
    <row r="677" spans="1:26" ht="12.75" customHeight="1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</row>
    <row r="678" spans="1:26" ht="12.75" customHeight="1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</row>
    <row r="679" spans="1:26" ht="12.75" customHeight="1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</row>
    <row r="680" spans="1:26" ht="12.75" customHeight="1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</row>
    <row r="681" spans="1:26" ht="12.75" customHeight="1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</row>
    <row r="682" spans="1:26" ht="12.75" customHeight="1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</row>
    <row r="683" spans="1:26" ht="12.75" customHeight="1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</row>
    <row r="684" spans="1:26" ht="12.75" customHeight="1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</row>
    <row r="685" spans="1:26" ht="12.75" customHeight="1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</row>
    <row r="686" spans="1:26" ht="12.75" customHeight="1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</row>
    <row r="687" spans="1:26" ht="12.75" customHeight="1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</row>
    <row r="688" spans="1:26" ht="12.75" customHeight="1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</row>
    <row r="689" spans="1:26" ht="12.75" customHeight="1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</row>
    <row r="690" spans="1:26" ht="12.75" customHeight="1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</row>
    <row r="691" spans="1:26" ht="12.75" customHeight="1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</row>
    <row r="692" spans="1:26" ht="12.75" customHeight="1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</row>
    <row r="693" spans="1:26" ht="12.75" customHeight="1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</row>
    <row r="694" spans="1:26" ht="12.75" customHeight="1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</row>
    <row r="695" spans="1:26" ht="12.75" customHeight="1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</row>
    <row r="696" spans="1:26" ht="12.75" customHeight="1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</row>
    <row r="697" spans="1:26" ht="12.75" customHeight="1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</row>
    <row r="698" spans="1:26" ht="12.75" customHeight="1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</row>
    <row r="699" spans="1:26" ht="12.75" customHeight="1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</row>
    <row r="700" spans="1:26" ht="12.75" customHeight="1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</row>
    <row r="701" spans="1:26" ht="12.75" customHeight="1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</row>
    <row r="702" spans="1:26" ht="12.75" customHeight="1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</row>
    <row r="703" spans="1:26" ht="12.75" customHeight="1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</row>
    <row r="704" spans="1:26" ht="12.75" customHeight="1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</row>
    <row r="705" spans="1:26" ht="12.75" customHeight="1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</row>
    <row r="706" spans="1:26" ht="12.75" customHeight="1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</row>
    <row r="707" spans="1:26" ht="12.75" customHeight="1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</row>
    <row r="708" spans="1:26" ht="12.75" customHeight="1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</row>
    <row r="709" spans="1:26" ht="12.75" customHeight="1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</row>
    <row r="710" spans="1:26" ht="12.75" customHeight="1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</row>
    <row r="711" spans="1:26" ht="12.75" customHeight="1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</row>
    <row r="712" spans="1:26" ht="12.75" customHeight="1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</row>
    <row r="713" spans="1:26" ht="12.75" customHeight="1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</row>
    <row r="714" spans="1:26" ht="12.75" customHeight="1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</row>
    <row r="715" spans="1:26" ht="12.75" customHeight="1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</row>
    <row r="716" spans="1:26" ht="12.75" customHeight="1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</row>
    <row r="717" spans="1:26" ht="12.75" customHeight="1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</row>
    <row r="718" spans="1:26" ht="12.75" customHeight="1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</row>
    <row r="719" spans="1:26" ht="12.75" customHeight="1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</row>
    <row r="720" spans="1:26" ht="12.75" customHeight="1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</row>
    <row r="721" spans="1:26" ht="12.75" customHeight="1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</row>
    <row r="722" spans="1:26" ht="12.75" customHeight="1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</row>
    <row r="723" spans="1:26" ht="12.75" customHeight="1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</row>
    <row r="724" spans="1:26" ht="12.75" customHeight="1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</row>
    <row r="725" spans="1:26" ht="12.75" customHeight="1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</row>
    <row r="726" spans="1:26" ht="12.75" customHeight="1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</row>
    <row r="727" spans="1:26" ht="12.75" customHeight="1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</row>
    <row r="728" spans="1:26" ht="12.75" customHeight="1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</row>
    <row r="729" spans="1:26" ht="12.75" customHeight="1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</row>
    <row r="730" spans="1:26" ht="12.75" customHeight="1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</row>
    <row r="731" spans="1:26" ht="12.75" customHeight="1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</row>
    <row r="732" spans="1:26" ht="12.75" customHeight="1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</row>
    <row r="733" spans="1:26" ht="12.75" customHeight="1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</row>
    <row r="734" spans="1:26" ht="12.75" customHeight="1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</row>
    <row r="735" spans="1:26" ht="12.75" customHeight="1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</row>
    <row r="736" spans="1:26" ht="12.75" customHeight="1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</row>
    <row r="737" spans="1:26" ht="12.75" customHeight="1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</row>
    <row r="738" spans="1:26" ht="12.75" customHeight="1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</row>
    <row r="739" spans="1:26" ht="12.75" customHeight="1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</row>
    <row r="740" spans="1:26" ht="12.75" customHeight="1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</row>
    <row r="741" spans="1:26" ht="12.75" customHeight="1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</row>
    <row r="742" spans="1:26" ht="12.75" customHeight="1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</row>
    <row r="743" spans="1:26" ht="12.75" customHeight="1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</row>
    <row r="744" spans="1:26" ht="12.75" customHeight="1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</row>
    <row r="745" spans="1:26" ht="12.75" customHeight="1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</row>
    <row r="746" spans="1:26" ht="12.75" customHeight="1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</row>
    <row r="747" spans="1:26" ht="12.75" customHeight="1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</row>
    <row r="748" spans="1:26" ht="12.75" customHeight="1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</row>
    <row r="749" spans="1:26" ht="12.75" customHeight="1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</row>
    <row r="750" spans="1:26" ht="12.75" customHeight="1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</row>
    <row r="751" spans="1:26" ht="12.75" customHeight="1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</row>
    <row r="752" spans="1:26" ht="12.75" customHeight="1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</row>
    <row r="753" spans="1:26" ht="12.75" customHeight="1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</row>
    <row r="754" spans="1:26" ht="12.75" customHeight="1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</row>
    <row r="755" spans="1:26" ht="12.75" customHeight="1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</row>
    <row r="756" spans="1:26" ht="12.75" customHeight="1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</row>
    <row r="757" spans="1:26" ht="12.75" customHeight="1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</row>
    <row r="758" spans="1:26" ht="12.75" customHeight="1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</row>
    <row r="759" spans="1:26" ht="12.75" customHeight="1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</row>
    <row r="760" spans="1:26" ht="12.75" customHeight="1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</row>
    <row r="761" spans="1:26" ht="12.75" customHeight="1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</row>
    <row r="762" spans="1:26" ht="12.75" customHeight="1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</row>
    <row r="763" spans="1:26" ht="12.75" customHeight="1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</row>
    <row r="764" spans="1:26" ht="12.75" customHeight="1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</row>
    <row r="765" spans="1:26" ht="12.75" customHeight="1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</row>
    <row r="766" spans="1:26" ht="12.75" customHeight="1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</row>
    <row r="767" spans="1:26" ht="12.75" customHeight="1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</row>
    <row r="768" spans="1:26" ht="12.75" customHeight="1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</row>
    <row r="769" spans="1:26" ht="12.75" customHeight="1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</row>
    <row r="770" spans="1:26" ht="12.75" customHeight="1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</row>
    <row r="771" spans="1:26" ht="12.75" customHeight="1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</row>
    <row r="772" spans="1:26" ht="12.75" customHeight="1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</row>
    <row r="773" spans="1:26" ht="12.75" customHeight="1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</row>
    <row r="774" spans="1:26" ht="12.75" customHeight="1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</row>
    <row r="775" spans="1:26" ht="12.75" customHeight="1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</row>
    <row r="776" spans="1:26" ht="12.75" customHeight="1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</row>
    <row r="777" spans="1:26" ht="12.75" customHeight="1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</row>
    <row r="778" spans="1:26" ht="12.75" customHeight="1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</row>
    <row r="779" spans="1:26" ht="12.75" customHeight="1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</row>
    <row r="780" spans="1:26" ht="12.75" customHeight="1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</row>
    <row r="781" spans="1:26" ht="12.75" customHeight="1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</row>
    <row r="782" spans="1:26" ht="12.75" customHeight="1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</row>
    <row r="783" spans="1:26" ht="12.75" customHeight="1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</row>
    <row r="784" spans="1:26" ht="12.75" customHeight="1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</row>
    <row r="785" spans="1:26" ht="12.75" customHeight="1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</row>
    <row r="786" spans="1:26" ht="12.75" customHeight="1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</row>
    <row r="787" spans="1:26" ht="12.75" customHeight="1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</row>
    <row r="788" spans="1:26" ht="12.75" customHeight="1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</row>
    <row r="789" spans="1:26" ht="12.75" customHeight="1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</row>
    <row r="790" spans="1:26" ht="12.75" customHeight="1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</row>
    <row r="791" spans="1:26" ht="12.75" customHeight="1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</row>
    <row r="792" spans="1:26" ht="12.75" customHeight="1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</row>
    <row r="793" spans="1:26" ht="12.75" customHeight="1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</row>
    <row r="794" spans="1:26" ht="12.75" customHeight="1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</row>
    <row r="795" spans="1:26" ht="12.75" customHeight="1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</row>
    <row r="796" spans="1:26" ht="12.75" customHeight="1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</row>
    <row r="797" spans="1:26" ht="12.75" customHeight="1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</row>
    <row r="798" spans="1:26" ht="12.75" customHeight="1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</row>
    <row r="799" spans="1:26" ht="12.75" customHeight="1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</row>
    <row r="800" spans="1:26" ht="12.75" customHeight="1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</row>
    <row r="801" spans="1:26" ht="12.75" customHeight="1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</row>
    <row r="802" spans="1:26" ht="12.75" customHeight="1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</row>
    <row r="803" spans="1:26" ht="12.75" customHeight="1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</row>
    <row r="804" spans="1:26" ht="12.75" customHeight="1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</row>
    <row r="805" spans="1:26" ht="12.75" customHeight="1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</row>
    <row r="806" spans="1:26" ht="12.75" customHeight="1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</row>
    <row r="807" spans="1:26" ht="12.75" customHeight="1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</row>
    <row r="808" spans="1:26" ht="12.75" customHeight="1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</row>
    <row r="809" spans="1:26" ht="12.75" customHeight="1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</row>
    <row r="810" spans="1:26" ht="12.75" customHeight="1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</row>
    <row r="811" spans="1:26" ht="12.75" customHeight="1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</row>
    <row r="812" spans="1:26" ht="12.75" customHeight="1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</row>
    <row r="813" spans="1:26" ht="12.75" customHeight="1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</row>
    <row r="814" spans="1:26" ht="12.75" customHeight="1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</row>
    <row r="815" spans="1:26" ht="12.75" customHeight="1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</row>
    <row r="816" spans="1:26" ht="12.75" customHeight="1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</row>
    <row r="817" spans="1:26" ht="12.75" customHeight="1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</row>
    <row r="818" spans="1:26" ht="12.75" customHeight="1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</row>
    <row r="819" spans="1:26" ht="12.75" customHeight="1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</row>
    <row r="820" spans="1:26" ht="12.75" customHeight="1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</row>
    <row r="821" spans="1:26" ht="12.75" customHeight="1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</row>
    <row r="822" spans="1:26" ht="12.75" customHeight="1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</row>
    <row r="823" spans="1:26" ht="12.75" customHeight="1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</row>
    <row r="824" spans="1:26" ht="12.75" customHeight="1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</row>
    <row r="825" spans="1:26" ht="12.75" customHeight="1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</row>
    <row r="826" spans="1:26" ht="12.75" customHeight="1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</row>
    <row r="827" spans="1:26" ht="12.75" customHeight="1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</row>
    <row r="828" spans="1:26" ht="12.75" customHeight="1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</row>
    <row r="829" spans="1:26" ht="12.75" customHeight="1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</row>
    <row r="830" spans="1:26" ht="12.75" customHeight="1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</row>
    <row r="831" spans="1:26" ht="12.75" customHeight="1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</row>
    <row r="832" spans="1:26" ht="12.75" customHeight="1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</row>
    <row r="833" spans="1:26" ht="12.75" customHeight="1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</row>
    <row r="834" spans="1:26" ht="12.75" customHeight="1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</row>
    <row r="835" spans="1:26" ht="12.75" customHeight="1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</row>
    <row r="836" spans="1:26" ht="12.75" customHeight="1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</row>
    <row r="837" spans="1:26" ht="12.75" customHeight="1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</row>
    <row r="838" spans="1:26" ht="12.75" customHeight="1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</row>
    <row r="839" spans="1:26" ht="12.75" customHeight="1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</row>
    <row r="840" spans="1:26" ht="12.75" customHeight="1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</row>
    <row r="841" spans="1:26" ht="12.75" customHeight="1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</row>
    <row r="842" spans="1:26" ht="12.75" customHeight="1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</row>
    <row r="843" spans="1:26" ht="12.75" customHeight="1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</row>
    <row r="844" spans="1:26" ht="12.75" customHeight="1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</row>
    <row r="845" spans="1:26" ht="12.75" customHeight="1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</row>
    <row r="846" spans="1:26" ht="12.75" customHeight="1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</row>
    <row r="847" spans="1:26" ht="12.75" customHeight="1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</row>
    <row r="848" spans="1:26" ht="12.75" customHeight="1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</row>
    <row r="849" spans="1:26" ht="12.75" customHeight="1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</row>
    <row r="850" spans="1:26" ht="12.75" customHeight="1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</row>
    <row r="851" spans="1:26" ht="12.75" customHeight="1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</row>
    <row r="852" spans="1:26" ht="12.75" customHeight="1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</row>
    <row r="853" spans="1:26" ht="12.75" customHeight="1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</row>
    <row r="854" spans="1:26" ht="12.75" customHeight="1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</row>
    <row r="855" spans="1:26" ht="12.75" customHeight="1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</row>
    <row r="856" spans="1:26" ht="12.75" customHeight="1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</row>
    <row r="857" spans="1:26" ht="12.75" customHeight="1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</row>
    <row r="858" spans="1:26" ht="12.75" customHeight="1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</row>
    <row r="859" spans="1:26" ht="12.75" customHeight="1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</row>
    <row r="860" spans="1:26" ht="12.75" customHeight="1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</row>
    <row r="861" spans="1:26" ht="12.75" customHeight="1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</row>
    <row r="862" spans="1:26" ht="12.75" customHeight="1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</row>
    <row r="863" spans="1:26" ht="12.75" customHeight="1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</row>
    <row r="864" spans="1:26" ht="12.75" customHeight="1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</row>
    <row r="865" spans="1:26" ht="12.75" customHeight="1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</row>
    <row r="866" spans="1:26" ht="12.75" customHeight="1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</row>
    <row r="867" spans="1:26" ht="12.75" customHeight="1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</row>
    <row r="868" spans="1:26" ht="12.75" customHeight="1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</row>
    <row r="869" spans="1:26" ht="12.75" customHeight="1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</row>
    <row r="870" spans="1:26" ht="12.75" customHeight="1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</row>
    <row r="871" spans="1:26" ht="12.75" customHeight="1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</row>
    <row r="872" spans="1:26" ht="12.75" customHeight="1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</row>
    <row r="873" spans="1:26" ht="12.75" customHeight="1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</row>
    <row r="874" spans="1:26" ht="12.75" customHeight="1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</row>
    <row r="875" spans="1:26" ht="12.75" customHeight="1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</row>
    <row r="876" spans="1:26" ht="12.75" customHeight="1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</row>
    <row r="877" spans="1:26" ht="12.75" customHeight="1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</row>
    <row r="878" spans="1:26" ht="12.75" customHeight="1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</row>
    <row r="879" spans="1:26" ht="12.75" customHeight="1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</row>
    <row r="880" spans="1:26" ht="12.75" customHeight="1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</row>
    <row r="881" spans="1:26" ht="12.75" customHeight="1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</row>
    <row r="882" spans="1:26" ht="12.75" customHeight="1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</row>
    <row r="883" spans="1:26" ht="12.75" customHeight="1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</row>
    <row r="884" spans="1:26" ht="12.75" customHeight="1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</row>
    <row r="885" spans="1:26" ht="12.75" customHeight="1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</row>
    <row r="886" spans="1:26" ht="12.75" customHeight="1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</row>
    <row r="887" spans="1:26" ht="12.75" customHeight="1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</row>
    <row r="888" spans="1:26" ht="12.75" customHeight="1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</row>
    <row r="889" spans="1:26" ht="12.75" customHeight="1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</row>
    <row r="890" spans="1:26" ht="12.75" customHeight="1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</row>
    <row r="891" spans="1:26" ht="12.75" customHeight="1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</row>
    <row r="892" spans="1:26" ht="12.75" customHeight="1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</row>
    <row r="893" spans="1:26" ht="12.75" customHeight="1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</row>
    <row r="894" spans="1:26" ht="12.75" customHeight="1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</row>
    <row r="895" spans="1:26" ht="12.75" customHeight="1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</row>
    <row r="896" spans="1:26" ht="12.75" customHeight="1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</row>
    <row r="897" spans="1:26" ht="12.75" customHeight="1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</row>
    <row r="898" spans="1:26" ht="12.75" customHeight="1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</row>
    <row r="899" spans="1:26" ht="12.75" customHeight="1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</row>
    <row r="900" spans="1:26" ht="12.75" customHeight="1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</row>
    <row r="901" spans="1:26" ht="12.75" customHeight="1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</row>
    <row r="902" spans="1:26" ht="12.75" customHeight="1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</row>
    <row r="903" spans="1:26" ht="12.75" customHeight="1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</row>
    <row r="904" spans="1:26" ht="12.75" customHeight="1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</row>
    <row r="905" spans="1:26" ht="12.75" customHeight="1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</row>
    <row r="906" spans="1:26" ht="12.75" customHeight="1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</row>
    <row r="907" spans="1:26" ht="12.75" customHeight="1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</row>
    <row r="908" spans="1:26" ht="12.75" customHeight="1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</row>
    <row r="909" spans="1:26" ht="12.75" customHeight="1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</row>
    <row r="910" spans="1:26" ht="12.75" customHeight="1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</row>
    <row r="911" spans="1:26" ht="12.75" customHeight="1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</row>
    <row r="912" spans="1:26" ht="12.75" customHeight="1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</row>
    <row r="913" spans="1:26" ht="12.75" customHeight="1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</row>
    <row r="914" spans="1:26" ht="12.75" customHeight="1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</row>
    <row r="915" spans="1:26" ht="12.75" customHeight="1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</row>
    <row r="916" spans="1:26" ht="12.75" customHeight="1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</row>
    <row r="917" spans="1:26" ht="12.75" customHeight="1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</row>
    <row r="918" spans="1:26" ht="12.75" customHeight="1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</row>
    <row r="919" spans="1:26" ht="12.75" customHeight="1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</row>
    <row r="920" spans="1:26" ht="12.75" customHeight="1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</row>
    <row r="921" spans="1:26" ht="12.75" customHeight="1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</row>
    <row r="922" spans="1:26" ht="12.75" customHeight="1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</row>
    <row r="923" spans="1:26" ht="12.75" customHeight="1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</row>
    <row r="924" spans="1:26" ht="12.75" customHeight="1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</row>
    <row r="925" spans="1:26" ht="12.75" customHeight="1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</row>
    <row r="926" spans="1:26" ht="12.75" customHeight="1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</row>
    <row r="927" spans="1:26" ht="12.75" customHeight="1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</row>
    <row r="928" spans="1:26" ht="12.75" customHeight="1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</row>
    <row r="929" spans="1:26" ht="12.75" customHeight="1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</row>
    <row r="930" spans="1:26" ht="12.75" customHeight="1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</row>
    <row r="931" spans="1:26" ht="12.75" customHeight="1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</row>
    <row r="932" spans="1:26" ht="12.75" customHeight="1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</row>
    <row r="933" spans="1:26" ht="12.75" customHeight="1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</row>
    <row r="934" spans="1:26" ht="12.75" customHeight="1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</row>
    <row r="935" spans="1:26" ht="12.75" customHeight="1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</row>
    <row r="936" spans="1:26" ht="12.75" customHeight="1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</row>
    <row r="937" spans="1:26" ht="12.75" customHeight="1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</row>
    <row r="938" spans="1:26" ht="12.75" customHeight="1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</row>
    <row r="939" spans="1:26" ht="12.75" customHeight="1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</row>
    <row r="940" spans="1:26" ht="12.75" customHeight="1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</row>
    <row r="941" spans="1:26" ht="12.75" customHeight="1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</row>
    <row r="942" spans="1:26" ht="12.75" customHeight="1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</row>
    <row r="943" spans="1:26" ht="12.75" customHeight="1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</row>
    <row r="944" spans="1:26" ht="12.75" customHeight="1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</row>
    <row r="945" spans="1:26" ht="12.75" customHeight="1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</row>
    <row r="946" spans="1:26" ht="12.75" customHeight="1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</row>
    <row r="947" spans="1:26" ht="12.75" customHeight="1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</row>
    <row r="948" spans="1:26" ht="12.75" customHeight="1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</row>
    <row r="949" spans="1:26" ht="12.75" customHeight="1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</row>
    <row r="950" spans="1:26" ht="12.75" customHeight="1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</row>
    <row r="951" spans="1:26" ht="12.75" customHeight="1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</row>
    <row r="952" spans="1:26" ht="12.75" customHeight="1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</row>
    <row r="953" spans="1:26" ht="12.75" customHeight="1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</row>
    <row r="954" spans="1:26" ht="12.75" customHeight="1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</row>
    <row r="955" spans="1:26" ht="12.75" customHeight="1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</row>
    <row r="956" spans="1:26" ht="12.75" customHeight="1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</row>
    <row r="957" spans="1:26" ht="12.75" customHeight="1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</row>
    <row r="958" spans="1:26" ht="12.75" customHeight="1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</row>
    <row r="959" spans="1:26" ht="12.75" customHeight="1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</row>
    <row r="960" spans="1:26" ht="12.75" customHeight="1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</row>
    <row r="961" spans="1:26" ht="12.75" customHeight="1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</row>
    <row r="962" spans="1:26" ht="12.75" customHeight="1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</row>
    <row r="963" spans="1:26" ht="12.75" customHeight="1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</row>
    <row r="964" spans="1:26" ht="12.75" customHeight="1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</row>
    <row r="965" spans="1:26" ht="12.75" customHeight="1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</row>
    <row r="966" spans="1:26" ht="12.75" customHeight="1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</row>
    <row r="967" spans="1:26" ht="12.75" customHeight="1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</row>
    <row r="968" spans="1:26" ht="12.75" customHeight="1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</row>
    <row r="969" spans="1:26" ht="12.75" customHeight="1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</row>
    <row r="970" spans="1:26" ht="12.75" customHeight="1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</row>
    <row r="971" spans="1:26" ht="12.75" customHeight="1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</row>
    <row r="972" spans="1:26" ht="12.75" customHeight="1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</row>
    <row r="973" spans="1:26" ht="12.75" customHeight="1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</row>
    <row r="974" spans="1:26" ht="12.75" customHeight="1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</row>
    <row r="975" spans="1:26" ht="12.75" customHeight="1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</row>
    <row r="976" spans="1:26" ht="12.75" customHeight="1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</row>
    <row r="977" spans="1:26" ht="12.75" customHeight="1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</row>
    <row r="978" spans="1:26" ht="12.75" customHeight="1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</row>
    <row r="979" spans="1:26" ht="12.75" customHeight="1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</row>
    <row r="980" spans="1:26" ht="12.75" customHeight="1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</row>
    <row r="981" spans="1:26" ht="12.75" customHeight="1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</row>
    <row r="982" spans="1:26" ht="12.75" customHeight="1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</row>
    <row r="983" spans="1:26" ht="12.75" customHeight="1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</row>
    <row r="984" spans="1:26" ht="12.75" customHeight="1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</row>
    <row r="985" spans="1:26" ht="12.75" customHeight="1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</row>
    <row r="986" spans="1:26" ht="12.75" customHeight="1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</row>
    <row r="987" spans="1:26" ht="12.75" customHeight="1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</row>
    <row r="988" spans="1:26" ht="12.75" customHeight="1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</row>
    <row r="989" spans="1:26" ht="12.75" customHeight="1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</row>
    <row r="990" spans="1:26" ht="12.75" customHeight="1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</row>
    <row r="991" spans="1:26" ht="12.75" customHeight="1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</row>
    <row r="992" spans="1:26" ht="12.75" customHeight="1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</row>
    <row r="993" spans="1:26" ht="12.75" customHeight="1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</row>
    <row r="994" spans="1:26" ht="12.75" customHeight="1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</row>
    <row r="995" spans="1:26" ht="12.75" customHeight="1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</row>
    <row r="996" spans="1:26" ht="12.75" customHeight="1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</row>
    <row r="997" spans="1:26" ht="12.75" customHeight="1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</row>
  </sheetData>
  <mergeCells count="1">
    <mergeCell ref="B2:H2"/>
  </mergeCells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1"/>
  <sheetViews>
    <sheetView showGridLines="0" workbookViewId="0">
      <selection sqref="A1:L1"/>
    </sheetView>
  </sheetViews>
  <sheetFormatPr defaultRowHeight="15"/>
  <cols>
    <col min="1" max="1" width="3" style="158" customWidth="1"/>
    <col min="2" max="2" width="12" style="158" customWidth="1"/>
    <col min="3" max="3" width="16" style="158" customWidth="1"/>
    <col min="4" max="6" width="13" style="158" customWidth="1"/>
    <col min="7" max="7" width="10" style="158" customWidth="1"/>
    <col min="8" max="8" width="3" style="158" customWidth="1"/>
    <col min="9" max="12" width="12" style="158" customWidth="1"/>
    <col min="13" max="14" width="3" style="158" customWidth="1"/>
  </cols>
  <sheetData>
    <row r="1" spans="1:12" ht="32.1" customHeight="1">
      <c r="A1" s="267" t="s">
        <v>374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</row>
    <row r="2" spans="1:12" ht="18" customHeight="1">
      <c r="A2" s="264" t="s">
        <v>375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</row>
    <row r="3" spans="1:12" ht="8.1" customHeight="1"/>
    <row r="4" spans="1:12" ht="15.95" customHeight="1">
      <c r="B4" s="265" t="s">
        <v>376</v>
      </c>
      <c r="C4" s="180"/>
      <c r="D4" s="265" t="s">
        <v>377</v>
      </c>
      <c r="E4" s="180"/>
      <c r="F4" s="265" t="s">
        <v>378</v>
      </c>
      <c r="G4" s="180"/>
      <c r="I4" s="265" t="s">
        <v>379</v>
      </c>
      <c r="J4" s="180"/>
      <c r="K4" s="265" t="s">
        <v>380</v>
      </c>
      <c r="L4" s="180"/>
    </row>
    <row r="5" spans="1:12" ht="21.95" customHeight="1">
      <c r="B5" s="268">
        <f>'2. 5기_예산목간'!D59</f>
        <v>41218091</v>
      </c>
      <c r="C5" s="269"/>
      <c r="D5" s="268">
        <f>SUM('3. 5기 수입지출장부'!E192:E210)</f>
        <v>7403080</v>
      </c>
      <c r="E5" s="269"/>
      <c r="F5" s="268">
        <f>LOOKUP(9.99E+307,Table_1[잔액])</f>
        <v>30901271</v>
      </c>
      <c r="G5" s="269"/>
      <c r="I5" s="275">
        <f>D5/B5</f>
        <v>0.17960754174665683</v>
      </c>
      <c r="J5" s="269"/>
      <c r="K5" s="272">
        <f>SUM(Table_1[지출])-D5</f>
        <v>2913740</v>
      </c>
      <c r="L5" s="273"/>
    </row>
    <row r="6" spans="1:12" ht="21.95" customHeight="1">
      <c r="B6" s="270"/>
      <c r="C6" s="270"/>
      <c r="D6" s="270"/>
      <c r="E6" s="270"/>
      <c r="F6" s="270"/>
      <c r="G6" s="270"/>
      <c r="I6" s="270"/>
      <c r="J6" s="270"/>
      <c r="K6" s="274"/>
      <c r="L6" s="274"/>
    </row>
    <row r="7" spans="1:12" ht="6" customHeight="1"/>
    <row r="8" spans="1:12" ht="9.9499999999999993" customHeight="1"/>
    <row r="9" spans="1:12" ht="19.5">
      <c r="A9" s="266" t="s">
        <v>381</v>
      </c>
      <c r="B9" s="180"/>
      <c r="C9" s="180"/>
      <c r="D9" s="180"/>
      <c r="E9" s="180"/>
      <c r="F9" s="180"/>
      <c r="G9" s="180"/>
    </row>
    <row r="10" spans="1:12" ht="21.95" customHeight="1">
      <c r="B10" s="159" t="s">
        <v>301</v>
      </c>
      <c r="C10" s="159" t="s">
        <v>382</v>
      </c>
      <c r="D10" s="159" t="s">
        <v>383</v>
      </c>
      <c r="E10" s="159" t="s">
        <v>280</v>
      </c>
      <c r="F10" s="159" t="s">
        <v>7</v>
      </c>
      <c r="G10" s="159" t="s">
        <v>384</v>
      </c>
    </row>
    <row r="11" spans="1:12" ht="20.100000000000001" customHeight="1">
      <c r="B11" s="160" t="s">
        <v>49</v>
      </c>
      <c r="C11" s="161" t="s">
        <v>49</v>
      </c>
      <c r="D11" s="162">
        <f>'3. 5기 수입지출장부'!D192</f>
        <v>3300000</v>
      </c>
      <c r="E11" s="163">
        <f>'3. 5기 수입지출장부'!E192</f>
        <v>800000</v>
      </c>
      <c r="F11" s="164">
        <f>'3. 5기 수입지출장부'!F192</f>
        <v>2500000</v>
      </c>
      <c r="G11" s="165">
        <f t="shared" ref="G11:G29" si="0">IFERROR(E11/D11,0)</f>
        <v>0.24242424242424243</v>
      </c>
    </row>
    <row r="12" spans="1:12" ht="20.100000000000001" customHeight="1">
      <c r="B12" s="166" t="s">
        <v>265</v>
      </c>
      <c r="C12" s="167" t="s">
        <v>247</v>
      </c>
      <c r="D12" s="168">
        <f>'3. 5기 수입지출장부'!D193</f>
        <v>1927800</v>
      </c>
      <c r="E12" s="169">
        <f>'3. 5기 수입지출장부'!E193</f>
        <v>0</v>
      </c>
      <c r="F12" s="170">
        <f>'3. 5기 수입지출장부'!F193</f>
        <v>1927800</v>
      </c>
      <c r="G12" s="171">
        <f t="shared" si="0"/>
        <v>0</v>
      </c>
    </row>
    <row r="13" spans="1:12" ht="20.100000000000001" customHeight="1">
      <c r="B13" s="160" t="s">
        <v>265</v>
      </c>
      <c r="C13" s="161" t="s">
        <v>104</v>
      </c>
      <c r="D13" s="162">
        <f>'3. 5기 수입지출장부'!D194</f>
        <v>540000</v>
      </c>
      <c r="E13" s="163">
        <f>'3. 5기 수입지출장부'!E194</f>
        <v>166000</v>
      </c>
      <c r="F13" s="164">
        <f>'3. 5기 수입지출장부'!F194</f>
        <v>374000</v>
      </c>
      <c r="G13" s="165">
        <f t="shared" si="0"/>
        <v>0.30740740740740741</v>
      </c>
    </row>
    <row r="14" spans="1:12" ht="20.100000000000001" customHeight="1">
      <c r="B14" s="166" t="s">
        <v>265</v>
      </c>
      <c r="C14" s="167" t="s">
        <v>255</v>
      </c>
      <c r="D14" s="168">
        <f>'3. 5기 수입지출장부'!D195</f>
        <v>1000000</v>
      </c>
      <c r="E14" s="169">
        <f>'3. 5기 수입지출장부'!E195</f>
        <v>0</v>
      </c>
      <c r="F14" s="170">
        <f>'3. 5기 수입지출장부'!F195</f>
        <v>1000000</v>
      </c>
      <c r="G14" s="171">
        <f t="shared" si="0"/>
        <v>0</v>
      </c>
    </row>
    <row r="15" spans="1:12" ht="20.100000000000001" customHeight="1">
      <c r="B15" s="160" t="s">
        <v>265</v>
      </c>
      <c r="C15" s="161" t="s">
        <v>244</v>
      </c>
      <c r="D15" s="162">
        <f>'3. 5기 수입지출장부'!D196</f>
        <v>400000</v>
      </c>
      <c r="E15" s="163">
        <f>'3. 5기 수입지출장부'!E196</f>
        <v>376000</v>
      </c>
      <c r="F15" s="164">
        <f>'3. 5기 수입지출장부'!F196</f>
        <v>24000</v>
      </c>
      <c r="G15" s="165">
        <f t="shared" si="0"/>
        <v>0.94</v>
      </c>
    </row>
    <row r="16" spans="1:12" ht="20.100000000000001" customHeight="1">
      <c r="B16" s="166" t="s">
        <v>265</v>
      </c>
      <c r="C16" s="167" t="s">
        <v>223</v>
      </c>
      <c r="D16" s="168">
        <f>'3. 5기 수입지출장부'!D197</f>
        <v>200000</v>
      </c>
      <c r="E16" s="169">
        <f>'3. 5기 수입지출장부'!E197</f>
        <v>135000</v>
      </c>
      <c r="F16" s="170">
        <f>'3. 5기 수입지출장부'!F197</f>
        <v>65000</v>
      </c>
      <c r="G16" s="171">
        <f t="shared" si="0"/>
        <v>0.67500000000000004</v>
      </c>
    </row>
    <row r="17" spans="1:12" ht="20.100000000000001" customHeight="1">
      <c r="B17" s="160" t="s">
        <v>265</v>
      </c>
      <c r="C17" s="161" t="s">
        <v>243</v>
      </c>
      <c r="D17" s="162">
        <f>'3. 5기 수입지출장부'!D198</f>
        <v>200000</v>
      </c>
      <c r="E17" s="163">
        <f>'3. 5기 수입지출장부'!E198</f>
        <v>0</v>
      </c>
      <c r="F17" s="164">
        <f>'3. 5기 수입지출장부'!F198</f>
        <v>200000</v>
      </c>
      <c r="G17" s="165">
        <f t="shared" si="0"/>
        <v>0</v>
      </c>
    </row>
    <row r="18" spans="1:12" ht="20.100000000000001" customHeight="1">
      <c r="B18" s="166" t="s">
        <v>265</v>
      </c>
      <c r="C18" s="167" t="s">
        <v>220</v>
      </c>
      <c r="D18" s="168">
        <f>'3. 5기 수입지출장부'!D199</f>
        <v>200000</v>
      </c>
      <c r="E18" s="169">
        <f>'3. 5기 수입지출장부'!E199</f>
        <v>135000</v>
      </c>
      <c r="F18" s="170">
        <f>'3. 5기 수입지출장부'!F199</f>
        <v>65000</v>
      </c>
      <c r="G18" s="171">
        <f t="shared" si="0"/>
        <v>0.67500000000000004</v>
      </c>
    </row>
    <row r="19" spans="1:12" ht="20.100000000000001" customHeight="1">
      <c r="B19" s="160" t="s">
        <v>265</v>
      </c>
      <c r="C19" s="161" t="s">
        <v>257</v>
      </c>
      <c r="D19" s="162">
        <f>'3. 5기 수입지출장부'!D200</f>
        <v>0</v>
      </c>
      <c r="E19" s="163">
        <f>'3. 5기 수입지출장부'!E200</f>
        <v>0</v>
      </c>
      <c r="F19" s="164">
        <f>'3. 5기 수입지출장부'!F200</f>
        <v>0</v>
      </c>
      <c r="G19" s="165">
        <f t="shared" si="0"/>
        <v>0</v>
      </c>
    </row>
    <row r="20" spans="1:12" ht="20.100000000000001" customHeight="1">
      <c r="B20" s="166" t="s">
        <v>269</v>
      </c>
      <c r="C20" s="167" t="s">
        <v>59</v>
      </c>
      <c r="D20" s="168">
        <f>'3. 5기 수입지출장부'!D201</f>
        <v>3600000</v>
      </c>
      <c r="E20" s="169">
        <f>'3. 5기 수입지출장부'!E201</f>
        <v>2890580</v>
      </c>
      <c r="F20" s="170">
        <f>'3. 5기 수입지출장부'!F201</f>
        <v>709420</v>
      </c>
      <c r="G20" s="171">
        <f t="shared" si="0"/>
        <v>0.80293888888888887</v>
      </c>
    </row>
    <row r="21" spans="1:12" ht="20.100000000000001" customHeight="1">
      <c r="B21" s="160" t="s">
        <v>269</v>
      </c>
      <c r="C21" s="161" t="s">
        <v>56</v>
      </c>
      <c r="D21" s="162">
        <f>'3. 5기 수입지출장부'!D202</f>
        <v>8000000</v>
      </c>
      <c r="E21" s="163">
        <f>'3. 5기 수입지출장부'!E202</f>
        <v>2900500</v>
      </c>
      <c r="F21" s="164">
        <f>'3. 5기 수입지출장부'!F202</f>
        <v>5099500</v>
      </c>
      <c r="G21" s="165">
        <f t="shared" si="0"/>
        <v>0.36256250000000001</v>
      </c>
    </row>
    <row r="22" spans="1:12" ht="20.100000000000001" customHeight="1">
      <c r="B22" s="166" t="s">
        <v>269</v>
      </c>
      <c r="C22" s="167" t="s">
        <v>259</v>
      </c>
      <c r="D22" s="168">
        <f>'3. 5기 수입지출장부'!D203</f>
        <v>300000</v>
      </c>
      <c r="E22" s="169">
        <f>'3. 5기 수입지출장부'!E203</f>
        <v>0</v>
      </c>
      <c r="F22" s="170">
        <f>'3. 5기 수입지출장부'!F203</f>
        <v>300000</v>
      </c>
      <c r="G22" s="171">
        <f t="shared" si="0"/>
        <v>0</v>
      </c>
    </row>
    <row r="23" spans="1:12" ht="20.100000000000001" customHeight="1">
      <c r="B23" s="160" t="s">
        <v>269</v>
      </c>
      <c r="C23" s="161" t="s">
        <v>261</v>
      </c>
      <c r="D23" s="162">
        <f>'3. 5기 수입지출장부'!D204</f>
        <v>4000000</v>
      </c>
      <c r="E23" s="163">
        <f>'3. 5기 수입지출장부'!E204</f>
        <v>0</v>
      </c>
      <c r="F23" s="164">
        <f>'3. 5기 수입지출장부'!F204</f>
        <v>4000000</v>
      </c>
      <c r="G23" s="165">
        <f t="shared" si="0"/>
        <v>0</v>
      </c>
    </row>
    <row r="24" spans="1:12" ht="20.100000000000001" customHeight="1">
      <c r="B24" s="166" t="s">
        <v>269</v>
      </c>
      <c r="C24" s="167" t="s">
        <v>253</v>
      </c>
      <c r="D24" s="168">
        <f>'3. 5기 수입지출장부'!D205</f>
        <v>2300000</v>
      </c>
      <c r="E24" s="169">
        <f>'3. 5기 수입지출장부'!E205</f>
        <v>0</v>
      </c>
      <c r="F24" s="170">
        <f>'3. 5기 수입지출장부'!F205</f>
        <v>2300000</v>
      </c>
      <c r="G24" s="171">
        <f t="shared" si="0"/>
        <v>0</v>
      </c>
    </row>
    <row r="25" spans="1:12" ht="20.100000000000001" customHeight="1">
      <c r="B25" s="160" t="s">
        <v>269</v>
      </c>
      <c r="C25" s="161" t="s">
        <v>256</v>
      </c>
      <c r="D25" s="162">
        <f>'3. 5기 수입지출장부'!D206</f>
        <v>0</v>
      </c>
      <c r="E25" s="163">
        <f>'3. 5기 수입지출장부'!E206</f>
        <v>0</v>
      </c>
      <c r="F25" s="164">
        <f>'3. 5기 수입지출장부'!F206</f>
        <v>0</v>
      </c>
      <c r="G25" s="165">
        <f t="shared" si="0"/>
        <v>0</v>
      </c>
    </row>
    <row r="26" spans="1:12" ht="20.100000000000001" customHeight="1">
      <c r="B26" s="166" t="s">
        <v>269</v>
      </c>
      <c r="C26" s="167" t="s">
        <v>249</v>
      </c>
      <c r="D26" s="168">
        <f>'3. 5기 수입지출장부'!D207</f>
        <v>600000</v>
      </c>
      <c r="E26" s="169">
        <f>'3. 5기 수입지출장부'!E207</f>
        <v>0</v>
      </c>
      <c r="F26" s="170">
        <f>'3. 5기 수입지출장부'!F207</f>
        <v>600000</v>
      </c>
      <c r="G26" s="171">
        <f t="shared" si="0"/>
        <v>0</v>
      </c>
    </row>
    <row r="27" spans="1:12" ht="20.100000000000001" customHeight="1">
      <c r="B27" s="160" t="s">
        <v>269</v>
      </c>
      <c r="C27" s="161" t="s">
        <v>248</v>
      </c>
      <c r="D27" s="162">
        <f>'3. 5기 수입지출장부'!D208</f>
        <v>300000</v>
      </c>
      <c r="E27" s="163">
        <f>'3. 5기 수입지출장부'!E208</f>
        <v>0</v>
      </c>
      <c r="F27" s="164">
        <f>'3. 5기 수입지출장부'!F208</f>
        <v>300000</v>
      </c>
      <c r="G27" s="165">
        <f t="shared" si="0"/>
        <v>0</v>
      </c>
    </row>
    <row r="28" spans="1:12" ht="20.100000000000001" customHeight="1">
      <c r="B28" s="166" t="s">
        <v>269</v>
      </c>
      <c r="C28" s="167" t="s">
        <v>252</v>
      </c>
      <c r="D28" s="168">
        <f>'3. 5기 수입지출장부'!D209</f>
        <v>500000</v>
      </c>
      <c r="E28" s="169">
        <f>'3. 5기 수입지출장부'!E209</f>
        <v>0</v>
      </c>
      <c r="F28" s="170">
        <f>'3. 5기 수입지출장부'!F209</f>
        <v>500000</v>
      </c>
      <c r="G28" s="171">
        <f t="shared" si="0"/>
        <v>0</v>
      </c>
    </row>
    <row r="29" spans="1:12" ht="20.100000000000001" customHeight="1">
      <c r="B29" s="160" t="s">
        <v>269</v>
      </c>
      <c r="C29" s="161" t="s">
        <v>242</v>
      </c>
      <c r="D29" s="162">
        <f>'3. 5기 수입지출장부'!D210</f>
        <v>400000</v>
      </c>
      <c r="E29" s="163">
        <f>'3. 5기 수입지출장부'!E210</f>
        <v>0</v>
      </c>
      <c r="F29" s="164">
        <f>'3. 5기 수입지출장부'!F210</f>
        <v>400000</v>
      </c>
      <c r="G29" s="165">
        <f t="shared" si="0"/>
        <v>0</v>
      </c>
    </row>
    <row r="31" spans="1:12">
      <c r="A31" s="271" t="s">
        <v>385</v>
      </c>
      <c r="B31" s="180"/>
      <c r="C31" s="180"/>
      <c r="D31" s="180"/>
      <c r="E31" s="180"/>
      <c r="F31" s="180"/>
      <c r="G31" s="180"/>
      <c r="H31" s="180"/>
      <c r="I31" s="180"/>
      <c r="J31" s="180"/>
      <c r="K31" s="180"/>
      <c r="L31" s="180"/>
    </row>
  </sheetData>
  <mergeCells count="14">
    <mergeCell ref="A31:L31"/>
    <mergeCell ref="D4:E4"/>
    <mergeCell ref="K5:L6"/>
    <mergeCell ref="I5:J6"/>
    <mergeCell ref="K4:L4"/>
    <mergeCell ref="B4:C4"/>
    <mergeCell ref="F4:G4"/>
    <mergeCell ref="A2:L2"/>
    <mergeCell ref="I4:J4"/>
    <mergeCell ref="A9:G9"/>
    <mergeCell ref="A1:L1"/>
    <mergeCell ref="B5:C6"/>
    <mergeCell ref="F5:G6"/>
    <mergeCell ref="D5:E6"/>
  </mergeCells>
  <phoneticPr fontId="34" type="noConversion"/>
  <conditionalFormatting sqref="G11:G29">
    <cfRule type="dataBar" priority="1">
      <dataBar>
        <cfvo type="num" val="0"/>
        <cfvo type="num" val="1"/>
        <color rgb="FF2A78D6"/>
      </dataBar>
    </cfRule>
  </conditionalFormatting>
  <pageMargins left="0.4" right="0.4" top="0.5" bottom="0.5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8</vt:i4>
      </vt:variant>
    </vt:vector>
  </HeadingPairs>
  <TitlesOfParts>
    <vt:vector size="13" baseType="lpstr">
      <vt:lpstr>1. 5기추진일정</vt:lpstr>
      <vt:lpstr>2. 5기_예산목간</vt:lpstr>
      <vt:lpstr>3. 5기 수입지출장부</vt:lpstr>
      <vt:lpstr>4. 5기 수입상세 및 인원변동</vt:lpstr>
      <vt:lpstr>5. 대시보드</vt:lpstr>
      <vt:lpstr>가예산</vt:lpstr>
      <vt:lpstr>교육선전</vt:lpstr>
      <vt:lpstr>대외협력</vt:lpstr>
      <vt:lpstr>선대본</vt:lpstr>
      <vt:lpstr>수입</vt:lpstr>
      <vt:lpstr>정책기획</vt:lpstr>
      <vt:lpstr>조직강화</vt:lpstr>
      <vt:lpstr>총무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sungbok kim</dc:creator>
  <cp:lastModifiedBy>sungbok kim</cp:lastModifiedBy>
  <dcterms:created xsi:type="dcterms:W3CDTF">2026-09-01T13:24:01Z</dcterms:created>
  <dcterms:modified xsi:type="dcterms:W3CDTF">2026-09-10T11:40:30Z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2777d9-de3c-4e0a-ab19-2682aee16201_Enabled">
    <vt:lpwstr>true</vt:lpwstr>
  </property>
  <property fmtid="{D5CDD505-2E9C-101B-9397-08002B2CF9AE}" pid="3" name="MSIP_Label_022777d9-de3c-4e0a-ab19-2682aee16201_SetDate">
    <vt:lpwstr>2026-09-01T22:30:04Z</vt:lpwstr>
  </property>
  <property fmtid="{D5CDD505-2E9C-101B-9397-08002B2CF9AE}" pid="4" name="MSIP_Label_022777d9-de3c-4e0a-ab19-2682aee16201_Method">
    <vt:lpwstr>Privileged</vt:lpwstr>
  </property>
  <property fmtid="{D5CDD505-2E9C-101B-9397-08002B2CF9AE}" pid="5" name="MSIP_Label_022777d9-de3c-4e0a-ab19-2682aee16201_Name">
    <vt:lpwstr>평문 (Pure)</vt:lpwstr>
  </property>
  <property fmtid="{D5CDD505-2E9C-101B-9397-08002B2CF9AE}" pid="6" name="MSIP_Label_022777d9-de3c-4e0a-ab19-2682aee16201_SiteId">
    <vt:lpwstr>f85ca5f1-aa23-4252-a83a-443d333b1fe7</vt:lpwstr>
  </property>
  <property fmtid="{D5CDD505-2E9C-101B-9397-08002B2CF9AE}" pid="7" name="MSIP_Label_022777d9-de3c-4e0a-ab19-2682aee16201_ActionId">
    <vt:lpwstr>73dd4624-4205-45cc-9506-d2921dac461d</vt:lpwstr>
  </property>
  <property fmtid="{D5CDD505-2E9C-101B-9397-08002B2CF9AE}" pid="8" name="MSIP_Label_022777d9-de3c-4e0a-ab19-2682aee16201_ContentBits">
    <vt:lpwstr>0</vt:lpwstr>
  </property>
  <property fmtid="{D5CDD505-2E9C-101B-9397-08002B2CF9AE}" pid="9" name="MSIP_Label_022777d9-de3c-4e0a-ab19-2682aee16201_Tag">
    <vt:lpwstr>10, 0, 1, 1</vt:lpwstr>
  </property>
</Properties>
</file>