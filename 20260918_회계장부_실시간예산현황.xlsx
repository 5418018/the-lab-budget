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CB08D5EB-34D5-4DAC-8072-23FF7074438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수입지출장부'!$F$188:$F$191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4" l="1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20" i="3"/>
  <c r="D220" i="3"/>
  <c r="E219" i="3"/>
  <c r="E218" i="3"/>
  <c r="E217" i="3"/>
  <c r="E216" i="3"/>
  <c r="E215" i="3"/>
  <c r="D215" i="3"/>
  <c r="E214" i="3"/>
  <c r="D214" i="3"/>
  <c r="E213" i="3"/>
  <c r="E212" i="3"/>
  <c r="E211" i="3"/>
  <c r="D211" i="3"/>
  <c r="E210" i="3"/>
  <c r="E209" i="3"/>
  <c r="E208" i="3"/>
  <c r="E207" i="3"/>
  <c r="D207" i="3"/>
  <c r="E206" i="3"/>
  <c r="D206" i="3"/>
  <c r="E205" i="3"/>
  <c r="E204" i="3"/>
  <c r="D204" i="3"/>
  <c r="E203" i="3"/>
  <c r="D203" i="3"/>
  <c r="E202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AB7" i="1" l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20" i="3"/>
  <c r="F29" i="5" s="1"/>
  <c r="D29" i="5"/>
  <c r="E28" i="5"/>
  <c r="G28" i="5" s="1"/>
  <c r="Q39" i="1"/>
  <c r="F219" i="3"/>
  <c r="F28" i="5" s="1"/>
  <c r="Q37" i="1"/>
  <c r="S36" i="1" s="1"/>
  <c r="F218" i="3"/>
  <c r="F27" i="5" s="1"/>
  <c r="E27" i="5"/>
  <c r="G27" i="5" s="1"/>
  <c r="Q35" i="1"/>
  <c r="S34" i="1" s="1"/>
  <c r="F217" i="3"/>
  <c r="F26" i="5" s="1"/>
  <c r="E26" i="5"/>
  <c r="G26" i="5" s="1"/>
  <c r="F216" i="3"/>
  <c r="F25" i="5" s="1"/>
  <c r="E25" i="5"/>
  <c r="G25" i="5" s="1"/>
  <c r="Q33" i="1"/>
  <c r="Q31" i="1"/>
  <c r="S30" i="1" s="1"/>
  <c r="E24" i="5"/>
  <c r="F215" i="3"/>
  <c r="F24" i="5" s="1"/>
  <c r="D24" i="5"/>
  <c r="Q29" i="1"/>
  <c r="S28" i="1" s="1"/>
  <c r="E23" i="5"/>
  <c r="F214" i="3"/>
  <c r="F23" i="5" s="1"/>
  <c r="D23" i="5"/>
  <c r="E22" i="5"/>
  <c r="G22" i="5" s="1"/>
  <c r="F213" i="3"/>
  <c r="F22" i="5" s="1"/>
  <c r="Q27" i="1"/>
  <c r="S26" i="1" s="1"/>
  <c r="Q25" i="1"/>
  <c r="S24" i="1" s="1"/>
  <c r="F212" i="3"/>
  <c r="F21" i="5" s="1"/>
  <c r="E21" i="5"/>
  <c r="G21" i="5" s="1"/>
  <c r="E20" i="5"/>
  <c r="Q23" i="1"/>
  <c r="F211" i="3"/>
  <c r="F20" i="5" s="1"/>
  <c r="D20" i="5"/>
  <c r="F210" i="3"/>
  <c r="F19" i="5" s="1"/>
  <c r="E19" i="5"/>
  <c r="G19" i="5" s="1"/>
  <c r="F209" i="3"/>
  <c r="F18" i="5" s="1"/>
  <c r="Q21" i="1"/>
  <c r="S20" i="1" s="1"/>
  <c r="E18" i="5"/>
  <c r="G18" i="5" s="1"/>
  <c r="Q19" i="1"/>
  <c r="S18" i="1" s="1"/>
  <c r="F208" i="3"/>
  <c r="F17" i="5" s="1"/>
  <c r="E17" i="5"/>
  <c r="G17" i="5" s="1"/>
  <c r="E16" i="5"/>
  <c r="Q17" i="1"/>
  <c r="S16" i="1" s="1"/>
  <c r="D16" i="5"/>
  <c r="F207" i="3"/>
  <c r="F16" i="5" s="1"/>
  <c r="Q15" i="1"/>
  <c r="S14" i="1" s="1"/>
  <c r="E15" i="5"/>
  <c r="D15" i="5"/>
  <c r="F206" i="3"/>
  <c r="F15" i="5" s="1"/>
  <c r="F205" i="3"/>
  <c r="F14" i="5" s="1"/>
  <c r="E14" i="5"/>
  <c r="G14" i="5" s="1"/>
  <c r="Q13" i="1"/>
  <c r="S12" i="1" s="1"/>
  <c r="E13" i="5"/>
  <c r="Q11" i="1"/>
  <c r="S10" i="1" s="1"/>
  <c r="D13" i="5"/>
  <c r="F204" i="3"/>
  <c r="F13" i="5" s="1"/>
  <c r="Q9" i="1"/>
  <c r="E12" i="5"/>
  <c r="D12" i="5"/>
  <c r="F203" i="3"/>
  <c r="F12" i="5" s="1"/>
  <c r="E11" i="5"/>
  <c r="G11" i="5" s="1"/>
  <c r="Q7" i="1"/>
  <c r="F202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  <comment ref="H180" authorId="0" shapeId="0" xr:uid="{7759A415-D53E-493A-9108-380C2F150C1B}">
      <text>
        <r>
          <rPr>
            <b/>
            <sz val="9"/>
            <color indexed="81"/>
            <rFont val="돋움"/>
            <family val="3"/>
            <charset val="129"/>
          </rPr>
          <t>후원회원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인지하여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표함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14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임종</t>
        </r>
        <r>
          <rPr>
            <b/>
            <sz val="9"/>
            <color indexed="81"/>
            <rFont val="Tahoma"/>
            <family val="2"/>
          </rPr>
          <t>, 15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입관</t>
        </r>
        <r>
          <rPr>
            <b/>
            <sz val="9"/>
            <color indexed="81"/>
            <rFont val="Tahoma"/>
            <family val="2"/>
          </rPr>
          <t>, 16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발인</t>
        </r>
      </text>
    </comment>
  </commentList>
</comments>
</file>

<file path=xl/sharedStrings.xml><?xml version="1.0" encoding="utf-8"?>
<sst xmlns="http://schemas.openxmlformats.org/spreadsheetml/2006/main" count="1417" uniqueCount="429">
  <si>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</si>
  <si>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</si>
  <si>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</si>
  <si>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</si>
  <si>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</si>
  <si>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</si>
  <si>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</si>
  <si>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</si>
  <si>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</si>
  <si>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</si>
  <si>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</si>
  <si>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</si>
  <si>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</si>
  <si>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</si>
  <si>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</si>
  <si>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</si>
  <si>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</si>
  <si>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</si>
  <si>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</si>
  <si>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</si>
  <si>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</si>
  <si>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</si>
  <si>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</si>
  <si>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</si>
  <si>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</si>
  <si>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</si>
  <si>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</si>
  <si>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</si>
  <si>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</si>
  <si>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</si>
  <si>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</si>
  <si>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</si>
  <si>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</si>
  <si>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</si>
  <si>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</si>
  <si>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</si>
  <si>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</si>
  <si>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</si>
  <si>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</si>
  <si>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</si>
  <si>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</si>
  <si>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</si>
  <si>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</si>
  <si>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</si>
  <si>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</si>
  <si>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</si>
  <si>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</si>
  <si>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</si>
  <si>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</si>
  <si>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</si>
  <si>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</si>
  <si>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</si>
  <si>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</si>
  <si>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</si>
  <si>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</si>
  <si>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</si>
  <si>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</si>
  <si>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</si>
  <si>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</si>
  <si>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</si>
  <si>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</si>
  <si>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</si>
  <si>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</si>
  <si>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</si>
  <si>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</si>
  <si>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</si>
  <si>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</si>
  <si>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</si>
  <si>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</si>
  <si>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</si>
  <si>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</si>
  <si>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</si>
  <si>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</si>
  <si>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</si>
  <si>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</si>
  <si>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</si>
  <si>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</si>
  <si>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</si>
  <si>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</si>
  <si>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</si>
  <si>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</si>
  <si>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</si>
  <si>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</si>
  <si>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</si>
  <si>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</si>
  <si>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</si>
  <si>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</si>
  <si>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</si>
  <si>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</si>
  <si>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</si>
  <si>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</si>
  <si>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</si>
  <si>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</si>
  <si>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</si>
  <si>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</si>
  <si>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</si>
  <si>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</si>
  <si>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</si>
  <si>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</si>
  <si>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</si>
  <si>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</si>
  <si>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</si>
  <si>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</si>
  <si>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</si>
  <si>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</si>
  <si>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</si>
  <si>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</si>
  <si>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</si>
  <si>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</si>
  <si>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</si>
  <si>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</si>
  <si>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</si>
  <si>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</si>
  <si>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</si>
  <si>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</si>
  <si>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</si>
  <si>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</si>
  <si>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</si>
  <si>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</si>
  <si>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</si>
  <si>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</si>
  <si>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</si>
  <si>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</si>
  <si>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</si>
  <si>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</si>
  <si>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</si>
  <si>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</si>
  <si>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</si>
  <si>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</si>
  <si>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</si>
  <si>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</si>
  <si>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</si>
  <si>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</si>
  <si>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</si>
  <si>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</si>
  <si>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</si>
  <si>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</si>
  <si>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</si>
  <si>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</si>
  <si>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</si>
  <si>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</si>
  <si>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</si>
  <si>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</si>
  <si>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</si>
  <si>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</si>
  <si>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</si>
  <si>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</si>
  <si>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</si>
  <si>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</si>
  <si>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</si>
  <si>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</si>
  <si>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</si>
  <si>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</si>
  <si>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</si>
  <si>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</si>
  <si>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</si>
  <si>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</si>
  <si>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</si>
  <si>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</si>
  <si>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</si>
  <si>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</si>
  <si>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</si>
  <si>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</si>
  <si>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</si>
  <si>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</si>
  <si>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</si>
  <si>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</si>
  <si>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</si>
  <si>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</si>
  <si>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</si>
  <si>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</si>
  <si>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</si>
  <si>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</si>
  <si>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</si>
  <si>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</si>
  <si>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</si>
  <si>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</si>
  <si>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</si>
  <si>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</si>
  <si>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</si>
  <si>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</si>
  <si>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</si>
  <si>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</si>
  <si>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</si>
  <si>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</si>
  <si>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</si>
  <si>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</si>
  <si>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</si>
  <si>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</si>
  <si>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</si>
  <si>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</si>
  <si>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</si>
  <si>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</si>
  <si>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</si>
  <si>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</si>
  <si>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</si>
  <si>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</si>
  <si>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</si>
  <si>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</si>
  <si>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</si>
  <si>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</si>
  <si>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</si>
  <si>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</si>
  <si>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</si>
  <si>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</si>
  <si>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</si>
  <si>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</si>
  <si>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</si>
  <si>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</si>
  <si>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</si>
  <si>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</si>
  <si>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</si>
  <si>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</si>
  <si>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</si>
  <si>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</si>
  <si>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</si>
  <si>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</si>
  <si>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</si>
  <si>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</si>
  <si>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</si>
  <si>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</si>
  <si>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</si>
  <si>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</si>
  <si>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</si>
  <si>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</si>
  <si>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</si>
  <si>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</si>
  <si>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</si>
  <si>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</si>
  <si>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</si>
  <si>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</si>
  <si>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</si>
  <si>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</si>
  <si>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</si>
  <si>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</si>
  <si>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</si>
  <si>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</si>
  <si>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</si>
  <si>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</si>
  <si>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</si>
  <si>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</si>
  <si>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</si>
  <si>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</si>
  <si>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</si>
  <si>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</si>
  <si>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</si>
  <si>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</si>
  <si>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</si>
  <si>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</si>
  <si>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</si>
  <si>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</si>
  <si>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</si>
  <si>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</si>
  <si>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</si>
  <si>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</si>
  <si>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</si>
  <si>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</si>
  <si>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</si>
  <si>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</si>
  <si>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</si>
  <si>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</si>
  <si>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</si>
  <si>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</si>
  <si>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</si>
  <si>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</si>
  <si>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</si>
  <si>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</si>
  <si>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</si>
  <si>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</si>
  <si>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</si>
  <si>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</si>
  <si>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</si>
  <si>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</si>
  <si>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</si>
  <si>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</si>
  <si>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</si>
  <si>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</si>
  <si>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</si>
  <si>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</si>
  <si>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</si>
  <si>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</si>
  <si>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</si>
  <si>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</si>
  <si>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</si>
  <si>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</si>
  <si>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</si>
  <si>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</si>
  <si>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</si>
  <si>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</si>
  <si>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</si>
  <si>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</si>
  <si>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</si>
  <si>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</si>
  <si>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</si>
  <si>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</si>
  <si>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</si>
  <si>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</si>
  <si>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</si>
  <si>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</si>
  <si>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</si>
  <si>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</si>
  <si>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</si>
  <si>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</si>
  <si>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</si>
  <si>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</si>
  <si>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</si>
  <si>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</si>
  <si>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</si>
  <si>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</si>
  <si>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</si>
  <si>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</si>
  <si>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</si>
  <si>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</si>
  <si>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</si>
  <si>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</si>
  <si>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</si>
  <si>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</si>
  <si>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</si>
  <si>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</si>
  <si>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</si>
  <si>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</si>
  <si>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</si>
  <si>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</si>
  <si>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</si>
  <si>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</si>
  <si>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</si>
  <si>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</si>
  <si>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</si>
  <si>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</si>
  <si>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</si>
  <si>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</si>
  <si>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</si>
  <si>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</si>
  <si>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</si>
  <si>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</si>
  <si>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</si>
  <si>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</si>
  <si>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</si>
  <si>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</si>
  <si>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</si>
  <si>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</si>
  <si>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</si>
  <si>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</si>
  <si>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</si>
  <si>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</si>
  <si>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</si>
  <si>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</si>
  <si>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</si>
  <si>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</si>
  <si>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</si>
  <si>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</si>
  <si>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</si>
  <si>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</si>
  <si>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</si>
  <si>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</si>
  <si>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</si>
  <si>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</si>
  <si>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</si>
  <si>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</si>
  <si>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</si>
  <si>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</si>
  <si>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</si>
  <si>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</si>
  <si>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</si>
  <si>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</si>
  <si>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</si>
  <si>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</si>
  <si>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</si>
  <si>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</si>
  <si>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</si>
  <si>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</si>
  <si>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</si>
  <si>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</si>
  <si>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</si>
  <si>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</si>
  <si>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</si>
  <si>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</si>
  <si>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</si>
  <si>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</si>
  <si>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</si>
  <si>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</si>
  <si>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</si>
  <si>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</si>
  <si>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</si>
  <si>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</si>
  <si>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</si>
  <si>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</si>
  <si>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</si>
  <si>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</si>
  <si>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</si>
  <si>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</si>
  <si>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</si>
  <si>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</si>
  <si>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</si>
  <si>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</si>
  <si>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</si>
  <si>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</si>
  <si>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</si>
  <si>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</si>
  <si>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</si>
  <si>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</si>
  <si>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</si>
  <si>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</si>
  <si>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</si>
  <si>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</si>
  <si>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</si>
  <si>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</si>
  <si>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</si>
  <si>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</si>
  <si>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</si>
  <si>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</si>
  <si>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</si>
  <si>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</si>
  <si>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</si>
  <si>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</si>
  <si>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</si>
  <si>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</si>
  <si>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</si>
  <si>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</si>
  <si>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</si>
  <si>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</si>
  <si>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</si>
  <si>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</si>
  <si>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</si>
  <si>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</si>
  <si>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</si>
  <si>
    <t>김광태 후원회원(농협은행 20707052069126 김광태)</t>
    <phoneticPr fontId="33" type="noConversion"/>
  </si>
  <si>
    <t>김광태</t>
    <phoneticPr fontId="33" type="noConversion"/>
  </si>
  <si>
    <t>농협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</si>
</sst>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7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7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14" fontId="12" fillId="0" borderId="48" xfId="0" applyNumberFormat="1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85">
  <autoFilter ref="A4:N185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7:A199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7:B190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7:C189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7:D189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7:E191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7:F190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7:G194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7:H190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0.42424242424242425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수입지출장부'!$C$5:$C$2013,$C6,'3. 5기 수입지출장부'!$A$5:$A$2013,"&gt;="&amp;DATE(2026,E$5,1),'3. 5기 수입지출장부'!$A$5:$A$2013,"&lt;"&amp;DATE(2026,E$5+1,1),'3. 5기 수입지출장부'!$E$5:$E$2013,"&gt;0")&gt;0,"■","")</f>
        <v/>
      </c>
      <c r="F7" s="9" t="str">
        <f>IF(COUNTIFS('3. 5기 수입지출장부'!$C$5:$C$2013,$C6,'3. 5기 수입지출장부'!$A$5:$A$2013,"&gt;="&amp;DATE(2026,F$5,1),'3. 5기 수입지출장부'!$A$5:$A$2013,"&lt;"&amp;DATE(2026,F$5+1,1),'3. 5기 수입지출장부'!$E$5:$E$2013,"&gt;0")&gt;0,"■","")</f>
        <v/>
      </c>
      <c r="G7" s="9" t="str">
        <f>IF(COUNTIFS('3. 5기 수입지출장부'!$C$5:$C$2013,$C6,'3. 5기 수입지출장부'!$A$5:$A$2013,"&gt;="&amp;DATE(2026,G$5,1),'3. 5기 수입지출장부'!$A$5:$A$2013,"&lt;"&amp;DATE(2026,G$5+1,1),'3. 5기 수입지출장부'!$E$5:$E$2013,"&gt;0")&gt;0,"■","")</f>
        <v>■</v>
      </c>
      <c r="H7" s="9" t="str">
        <f>IF(COUNTIFS('3. 5기 수입지출장부'!$C$5:$C$2013,$C6,'3. 5기 수입지출장부'!$A$5:$A$2013,"&gt;="&amp;DATE(2026,H$5,1),'3. 5기 수입지출장부'!$A$5:$A$2013,"&lt;"&amp;DATE(2026,H$5+1,1),'3. 5기 수입지출장부'!$E$5:$E$2013,"&gt;0")&gt;0,"■","")</f>
        <v/>
      </c>
      <c r="I7" s="9" t="str">
        <f>IF(COUNTIFS('3. 5기 수입지출장부'!$C$5:$C$2013,$C6,'3. 5기 수입지출장부'!$A$5:$A$2013,"&gt;="&amp;DATE(2026,I$5,1),'3. 5기 수입지출장부'!$A$5:$A$2013,"&lt;"&amp;DATE(2026,I$5+1,1),'3. 5기 수입지출장부'!$E$5:$E$2013,"&gt;0")&gt;0,"■","")</f>
        <v/>
      </c>
      <c r="J7" s="9" t="str">
        <f>IF(COUNTIFS('3. 5기 수입지출장부'!$C$5:$C$2013,$C6,'3. 5기 수입지출장부'!$A$5:$A$2013,"&gt;="&amp;DATE(2026,J$5,1),'3. 5기 수입지출장부'!$A$5:$A$2013,"&lt;"&amp;DATE(2026,J$5+1,1),'3. 5기 수입지출장부'!$E$5:$E$2013,"&gt;0")&gt;0,"■","")</f>
        <v>■</v>
      </c>
      <c r="K7" s="9" t="str">
        <f>IF(COUNTIFS('3. 5기 수입지출장부'!$C$5:$C$2013,$C6,'3. 5기 수입지출장부'!$A$5:$A$2013,"&gt;="&amp;DATE(2026,K$5,1),'3. 5기 수입지출장부'!$A$5:$A$2013,"&lt;"&amp;DATE(2026,K$5+1,1),'3. 5기 수입지출장부'!$E$5:$E$2013,"&gt;0")&gt;0,"■","")</f>
        <v>■</v>
      </c>
      <c r="L7" s="9" t="str">
        <f>IF(COUNTIFS('3. 5기 수입지출장부'!$C$5:$C$2013,$C6,'3. 5기 수입지출장부'!$A$5:$A$2013,"&gt;="&amp;DATE(2026,L$5,1),'3. 5기 수입지출장부'!$A$5:$A$2013,"&lt;"&amp;DATE(2026,L$5+1,1),'3. 5기 수입지출장부'!$E$5:$E$2013,"&gt;0")&gt;0,"■","")</f>
        <v/>
      </c>
      <c r="M7" s="9" t="str">
        <f>IF(COUNTIFS('3. 5기 수입지출장부'!$C$5:$C$2013,$C6,'3. 5기 수입지출장부'!$A$5:$A$2013,"&gt;="&amp;DATE(2026,M$5,1),'3. 5기 수입지출장부'!$A$5:$A$2013,"&lt;"&amp;DATE(2026,M$5+1,1),'3. 5기 수입지출장부'!$E$5:$E$2013,"&gt;0")&gt;0,"■","")</f>
        <v/>
      </c>
      <c r="N7" s="9" t="str">
        <f>IF(COUNTIFS('3. 5기 수입지출장부'!$C$5:$C$2013,$C6,'3. 5기 수입지출장부'!$A$5:$A$2013,"&gt;="&amp;DATE(2026,N$5,1),'3. 5기 수입지출장부'!$A$5:$A$2013,"&lt;"&amp;DATE(2026,N$5+1,1),'3. 5기 수입지출장부'!$E$5:$E$2013,"&gt;0")&gt;0,"■","")</f>
        <v>■</v>
      </c>
      <c r="O7" s="9" t="str">
        <f>IF(COUNTIFS('3. 5기 수입지출장부'!$C$5:$C$2013,$C6,'3. 5기 수입지출장부'!$A$5:$A$2013,"&gt;="&amp;DATE(2026,O$5,1),'3. 5기 수입지출장부'!$A$5:$A$2013,"&lt;"&amp;DATE(2026,O$5+1,1),'3. 5기 수입지출장부'!$E$5:$E$2013,"&gt;0")&gt;0,"■","")</f>
        <v/>
      </c>
      <c r="P7" s="9" t="str">
        <f>IF(COUNTIFS('3. 5기 수입지출장부'!$C$5:$C$2013,$C6,'3. 5기 수입지출장부'!$A$5:$A$2013,"&gt;="&amp;DATE(2026,P$5,1),'3. 5기 수입지출장부'!$A$5:$A$2013,"&lt;"&amp;DATE(2026,P$5+1,1),'3. 5기 수입지출장부'!$E$5:$E$2013,"&gt;0")&gt;0,"■","")</f>
        <v/>
      </c>
      <c r="Q7" s="182">
        <f>'3. 5기 수입지출장부'!E202</f>
        <v>1400000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수입지출장부'!$C$5:$C$2013,$C8,'3. 5기 수입지출장부'!$A$5:$A$2013,"&gt;="&amp;DATE(2026,E$5,1),'3. 5기 수입지출장부'!$A$5:$A$2013,"&lt;"&amp;DATE(2026,E$5+1,1),'3. 5기 수입지출장부'!$E$5:$E$2013,"&gt;0")&gt;0,"■","")</f>
        <v/>
      </c>
      <c r="F9" s="14" t="str">
        <f>IF(COUNTIFS('3. 5기 수입지출장부'!$C$5:$C$2013,$C8,'3. 5기 수입지출장부'!$A$5:$A$2013,"&gt;="&amp;DATE(2026,F$5,1),'3. 5기 수입지출장부'!$A$5:$A$2013,"&lt;"&amp;DATE(2026,F$5+1,1),'3. 5기 수입지출장부'!$E$5:$E$2013,"&gt;0")&gt;0,"■","")</f>
        <v/>
      </c>
      <c r="G9" s="14" t="str">
        <f>IF(COUNTIFS('3. 5기 수입지출장부'!$C$5:$C$2013,$C8,'3. 5기 수입지출장부'!$A$5:$A$2013,"&gt;="&amp;DATE(2026,G$5,1),'3. 5기 수입지출장부'!$A$5:$A$2013,"&lt;"&amp;DATE(2026,G$5+1,1),'3. 5기 수입지출장부'!$E$5:$E$2013,"&gt;0")&gt;0,"■","")</f>
        <v/>
      </c>
      <c r="H9" s="9" t="str">
        <f>IF(COUNTIFS('3. 5기 수입지출장부'!$C$5:$C$2013,$C8,'3. 5기 수입지출장부'!$A$5:$A$2013,"&gt;="&amp;DATE(2026,H$5,1),'3. 5기 수입지출장부'!$A$5:$A$2013,"&lt;"&amp;DATE(2026,H$5+1,1),'3. 5기 수입지출장부'!$E$5:$E$2013,"&gt;0")&gt;0,"■","")</f>
        <v/>
      </c>
      <c r="I9" s="14" t="str">
        <f>IF(COUNTIFS('3. 5기 수입지출장부'!$C$5:$C$2013,$C8,'3. 5기 수입지출장부'!$A$5:$A$2013,"&gt;="&amp;DATE(2026,I$5,1),'3. 5기 수입지출장부'!$A$5:$A$2013,"&lt;"&amp;DATE(2026,I$5+1,1),'3. 5기 수입지출장부'!$E$5:$E$2013,"&gt;0")&gt;0,"■","")</f>
        <v/>
      </c>
      <c r="J9" s="9" t="str">
        <f>IF(COUNTIFS('3. 5기 수입지출장부'!$C$5:$C$2013,$C8,'3. 5기 수입지출장부'!$A$5:$A$2013,"&gt;="&amp;DATE(2026,J$5,1),'3. 5기 수입지출장부'!$A$5:$A$2013,"&lt;"&amp;DATE(2026,J$5+1,1),'3. 5기 수입지출장부'!$E$5:$E$2013,"&gt;0")&gt;0,"■","")</f>
        <v/>
      </c>
      <c r="K9" s="14" t="str">
        <f>IF(COUNTIFS('3. 5기 수입지출장부'!$C$5:$C$2013,$C8,'3. 5기 수입지출장부'!$A$5:$A$2013,"&gt;="&amp;DATE(2026,K$5,1),'3. 5기 수입지출장부'!$A$5:$A$2013,"&lt;"&amp;DATE(2026,K$5+1,1),'3. 5기 수입지출장부'!$E$5:$E$2013,"&gt;0")&gt;0,"■","")</f>
        <v/>
      </c>
      <c r="L9" s="9" t="str">
        <f>IF(COUNTIFS('3. 5기 수입지출장부'!$C$5:$C$2013,$C8,'3. 5기 수입지출장부'!$A$5:$A$2013,"&gt;="&amp;DATE(2026,L$5,1),'3. 5기 수입지출장부'!$A$5:$A$2013,"&lt;"&amp;DATE(2026,L$5+1,1),'3. 5기 수입지출장부'!$E$5:$E$2013,"&gt;0")&gt;0,"■","")</f>
        <v/>
      </c>
      <c r="M9" s="14" t="str">
        <f>IF(COUNTIFS('3. 5기 수입지출장부'!$C$5:$C$2013,$C8,'3. 5기 수입지출장부'!$A$5:$A$2013,"&gt;="&amp;DATE(2026,M$5,1),'3. 5기 수입지출장부'!$A$5:$A$2013,"&lt;"&amp;DATE(2026,M$5+1,1),'3. 5기 수입지출장부'!$E$5:$E$2013,"&gt;0")&gt;0,"■","")</f>
        <v/>
      </c>
      <c r="N9" s="9" t="str">
        <f>IF(COUNTIFS('3. 5기 수입지출장부'!$C$5:$C$2013,$C8,'3. 5기 수입지출장부'!$A$5:$A$2013,"&gt;="&amp;DATE(2026,N$5,1),'3. 5기 수입지출장부'!$A$5:$A$2013,"&lt;"&amp;DATE(2026,N$5+1,1),'3. 5기 수입지출장부'!$E$5:$E$2013,"&gt;0")&gt;0,"■","")</f>
        <v/>
      </c>
      <c r="O9" s="14" t="str">
        <f>IF(COUNTIFS('3. 5기 수입지출장부'!$C$5:$C$2013,$C8,'3. 5기 수입지출장부'!$A$5:$A$2013,"&gt;="&amp;DATE(2026,O$5,1),'3. 5기 수입지출장부'!$A$5:$A$2013,"&lt;"&amp;DATE(2026,O$5+1,1),'3. 5기 수입지출장부'!$E$5:$E$2013,"&gt;0")&gt;0,"■","")</f>
        <v/>
      </c>
      <c r="P9" s="14" t="str">
        <f>IF(COUNTIFS('3. 5기 수입지출장부'!$C$5:$C$2013,$C8,'3. 5기 수입지출장부'!$A$5:$A$2013,"&gt;="&amp;DATE(2026,P$5,1),'3. 5기 수입지출장부'!$A$5:$A$2013,"&lt;"&amp;DATE(2026,P$5+1,1),'3. 5기 수입지출장부'!$E$5:$E$2013,"&gt;0")&gt;0,"■","")</f>
        <v/>
      </c>
      <c r="Q9" s="182">
        <f>'3. 5기 수입지출장부'!E203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수입지출장부'!$C$5:$C$2013,$C10,'3. 5기 수입지출장부'!$A$5:$A$2013,"&gt;="&amp;DATE(2026,E$5,1),'3. 5기 수입지출장부'!$A$5:$A$2013,"&lt;"&amp;DATE(2026,E$5+1,1),'3. 5기 수입지출장부'!$E$5:$E$2013,"&gt;0")&gt;0,"■","")</f>
        <v/>
      </c>
      <c r="F11" s="14" t="str">
        <f>IF(COUNTIFS('3. 5기 수입지출장부'!$C$5:$C$2013,$C10,'3. 5기 수입지출장부'!$A$5:$A$2013,"&gt;="&amp;DATE(2026,F$5,1),'3. 5기 수입지출장부'!$A$5:$A$2013,"&lt;"&amp;DATE(2026,F$5+1,1),'3. 5기 수입지출장부'!$E$5:$E$2013,"&gt;0")&gt;0,"■","")</f>
        <v/>
      </c>
      <c r="G11" s="14" t="str">
        <f>IF(COUNTIFS('3. 5기 수입지출장부'!$C$5:$C$2013,$C10,'3. 5기 수입지출장부'!$A$5:$A$2013,"&gt;="&amp;DATE(2026,G$5,1),'3. 5기 수입지출장부'!$A$5:$A$2013,"&lt;"&amp;DATE(2026,G$5+1,1),'3. 5기 수입지출장부'!$E$5:$E$2013,"&gt;0")&gt;0,"■","")</f>
        <v/>
      </c>
      <c r="H11" s="9" t="str">
        <f>IF(COUNTIFS('3. 5기 수입지출장부'!$C$5:$C$2013,$C10,'3. 5기 수입지출장부'!$A$5:$A$2013,"&gt;="&amp;DATE(2026,H$5,1),'3. 5기 수입지출장부'!$A$5:$A$2013,"&lt;"&amp;DATE(2026,H$5+1,1),'3. 5기 수입지출장부'!$E$5:$E$2013,"&gt;0")&gt;0,"■","")</f>
        <v>■</v>
      </c>
      <c r="I11" s="14" t="str">
        <f>IF(COUNTIFS('3. 5기 수입지출장부'!$C$5:$C$2013,$C10,'3. 5기 수입지출장부'!$A$5:$A$2013,"&gt;="&amp;DATE(2026,I$5,1),'3. 5기 수입지출장부'!$A$5:$A$2013,"&lt;"&amp;DATE(2026,I$5+1,1),'3. 5기 수입지출장부'!$E$5:$E$2013,"&gt;0")&gt;0,"■","")</f>
        <v/>
      </c>
      <c r="J11" s="9" t="str">
        <f>IF(COUNTIFS('3. 5기 수입지출장부'!$C$5:$C$2013,$C10,'3. 5기 수입지출장부'!$A$5:$A$2013,"&gt;="&amp;DATE(2026,J$5,1),'3. 5기 수입지출장부'!$A$5:$A$2013,"&lt;"&amp;DATE(2026,J$5+1,1),'3. 5기 수입지출장부'!$E$5:$E$2013,"&gt;0")&gt;0,"■","")</f>
        <v/>
      </c>
      <c r="K11" s="14" t="str">
        <f>IF(COUNTIFS('3. 5기 수입지출장부'!$C$5:$C$2013,$C10,'3. 5기 수입지출장부'!$A$5:$A$2013,"&gt;="&amp;DATE(2026,K$5,1),'3. 5기 수입지출장부'!$A$5:$A$2013,"&lt;"&amp;DATE(2026,K$5+1,1),'3. 5기 수입지출장부'!$E$5:$E$2013,"&gt;0")&gt;0,"■","")</f>
        <v/>
      </c>
      <c r="L11" s="9" t="str">
        <f>IF(COUNTIFS('3. 5기 수입지출장부'!$C$5:$C$2013,$C10,'3. 5기 수입지출장부'!$A$5:$A$2013,"&gt;="&amp;DATE(2026,L$5,1),'3. 5기 수입지출장부'!$A$5:$A$2013,"&lt;"&amp;DATE(2026,L$5+1,1),'3. 5기 수입지출장부'!$E$5:$E$2013,"&gt;0")&gt;0,"■","")</f>
        <v/>
      </c>
      <c r="M11" s="14" t="str">
        <f>IF(COUNTIFS('3. 5기 수입지출장부'!$C$5:$C$2013,$C10,'3. 5기 수입지출장부'!$A$5:$A$2013,"&gt;="&amp;DATE(2026,M$5,1),'3. 5기 수입지출장부'!$A$5:$A$2013,"&lt;"&amp;DATE(2026,M$5+1,1),'3. 5기 수입지출장부'!$E$5:$E$2013,"&gt;0")&gt;0,"■","")</f>
        <v/>
      </c>
      <c r="N11" s="9" t="str">
        <f>IF(COUNTIFS('3. 5기 수입지출장부'!$C$5:$C$2013,$C10,'3. 5기 수입지출장부'!$A$5:$A$2013,"&gt;="&amp;DATE(2026,N$5,1),'3. 5기 수입지출장부'!$A$5:$A$2013,"&lt;"&amp;DATE(2026,N$5+1,1),'3. 5기 수입지출장부'!$E$5:$E$2013,"&gt;0")&gt;0,"■","")</f>
        <v/>
      </c>
      <c r="O11" s="14" t="str">
        <f>IF(COUNTIFS('3. 5기 수입지출장부'!$C$5:$C$2013,$C10,'3. 5기 수입지출장부'!$A$5:$A$2013,"&gt;="&amp;DATE(2026,O$5,1),'3. 5기 수입지출장부'!$A$5:$A$2013,"&lt;"&amp;DATE(2026,O$5+1,1),'3. 5기 수입지출장부'!$E$5:$E$2013,"&gt;0")&gt;0,"■","")</f>
        <v/>
      </c>
      <c r="P11" s="14" t="str">
        <f>IF(COUNTIFS('3. 5기 수입지출장부'!$C$5:$C$2013,$C10,'3. 5기 수입지출장부'!$A$5:$A$2013,"&gt;="&amp;DATE(2026,P$5,1),'3. 5기 수입지출장부'!$A$5:$A$2013,"&lt;"&amp;DATE(2026,P$5+1,1),'3. 5기 수입지출장부'!$E$5:$E$2013,"&gt;0")&gt;0,"■","")</f>
        <v/>
      </c>
      <c r="Q11" s="223">
        <f>'3. 5기 수입지출장부'!E204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수입지출장부'!$C$5:$C$2013,$C12,'3. 5기 수입지출장부'!$A$5:$A$2013,"&gt;="&amp;DATE(2026,E$5,1),'3. 5기 수입지출장부'!$A$5:$A$2013,"&lt;"&amp;DATE(2026,E$5+1,1),'3. 5기 수입지출장부'!$E$5:$E$2013,"&gt;0")&gt;0,"■","")</f>
        <v/>
      </c>
      <c r="F13" s="14" t="str">
        <f>IF(COUNTIFS('3. 5기 수입지출장부'!$C$5:$C$2013,$C12,'3. 5기 수입지출장부'!$A$5:$A$2013,"&gt;="&amp;DATE(2026,F$5,1),'3. 5기 수입지출장부'!$A$5:$A$2013,"&lt;"&amp;DATE(2026,F$5+1,1),'3. 5기 수입지출장부'!$E$5:$E$2013,"&gt;0")&gt;0,"■","")</f>
        <v/>
      </c>
      <c r="G13" s="14" t="str">
        <f>IF(COUNTIFS('3. 5기 수입지출장부'!$C$5:$C$2013,$C12,'3. 5기 수입지출장부'!$A$5:$A$2013,"&gt;="&amp;DATE(2026,G$5,1),'3. 5기 수입지출장부'!$A$5:$A$2013,"&lt;"&amp;DATE(2026,G$5+1,1),'3. 5기 수입지출장부'!$E$5:$E$2013,"&gt;0")&gt;0,"■","")</f>
        <v/>
      </c>
      <c r="H13" s="9" t="str">
        <f>IF(COUNTIFS('3. 5기 수입지출장부'!$C$5:$C$2013,$C12,'3. 5기 수입지출장부'!$A$5:$A$2013,"&gt;="&amp;DATE(2026,H$5,1),'3. 5기 수입지출장부'!$A$5:$A$2013,"&lt;"&amp;DATE(2026,H$5+1,1),'3. 5기 수입지출장부'!$E$5:$E$2013,"&gt;0")&gt;0,"■","")</f>
        <v/>
      </c>
      <c r="I13" s="14" t="str">
        <f>IF(COUNTIFS('3. 5기 수입지출장부'!$C$5:$C$2013,$C12,'3. 5기 수입지출장부'!$A$5:$A$2013,"&gt;="&amp;DATE(2026,I$5,1),'3. 5기 수입지출장부'!$A$5:$A$2013,"&lt;"&amp;DATE(2026,I$5+1,1),'3. 5기 수입지출장부'!$E$5:$E$2013,"&gt;0")&gt;0,"■","")</f>
        <v/>
      </c>
      <c r="J13" s="9" t="str">
        <f>IF(COUNTIFS('3. 5기 수입지출장부'!$C$5:$C$2013,$C12,'3. 5기 수입지출장부'!$A$5:$A$2013,"&gt;="&amp;DATE(2026,J$5,1),'3. 5기 수입지출장부'!$A$5:$A$2013,"&lt;"&amp;DATE(2026,J$5+1,1),'3. 5기 수입지출장부'!$E$5:$E$2013,"&gt;0")&gt;0,"■","")</f>
        <v/>
      </c>
      <c r="K13" s="14" t="str">
        <f>IF(COUNTIFS('3. 5기 수입지출장부'!$C$5:$C$2013,$C12,'3. 5기 수입지출장부'!$A$5:$A$2013,"&gt;="&amp;DATE(2026,K$5,1),'3. 5기 수입지출장부'!$A$5:$A$2013,"&lt;"&amp;DATE(2026,K$5+1,1),'3. 5기 수입지출장부'!$E$5:$E$2013,"&gt;0")&gt;0,"■","")</f>
        <v/>
      </c>
      <c r="L13" s="9" t="str">
        <f>IF(COUNTIFS('3. 5기 수입지출장부'!$C$5:$C$2013,$C12,'3. 5기 수입지출장부'!$A$5:$A$2013,"&gt;="&amp;DATE(2026,L$5,1),'3. 5기 수입지출장부'!$A$5:$A$2013,"&lt;"&amp;DATE(2026,L$5+1,1),'3. 5기 수입지출장부'!$E$5:$E$2013,"&gt;0")&gt;0,"■","")</f>
        <v/>
      </c>
      <c r="M13" s="14" t="str">
        <f>IF(COUNTIFS('3. 5기 수입지출장부'!$C$5:$C$2013,$C12,'3. 5기 수입지출장부'!$A$5:$A$2013,"&gt;="&amp;DATE(2026,M$5,1),'3. 5기 수입지출장부'!$A$5:$A$2013,"&lt;"&amp;DATE(2026,M$5+1,1),'3. 5기 수입지출장부'!$E$5:$E$2013,"&gt;0")&gt;0,"■","")</f>
        <v/>
      </c>
      <c r="N13" s="9" t="str">
        <f>IF(COUNTIFS('3. 5기 수입지출장부'!$C$5:$C$2013,$C12,'3. 5기 수입지출장부'!$A$5:$A$2013,"&gt;="&amp;DATE(2026,N$5,1),'3. 5기 수입지출장부'!$A$5:$A$2013,"&lt;"&amp;DATE(2026,N$5+1,1),'3. 5기 수입지출장부'!$E$5:$E$2013,"&gt;0")&gt;0,"■","")</f>
        <v/>
      </c>
      <c r="O13" s="14" t="str">
        <f>IF(COUNTIFS('3. 5기 수입지출장부'!$C$5:$C$2013,$C12,'3. 5기 수입지출장부'!$A$5:$A$2013,"&gt;="&amp;DATE(2026,O$5,1),'3. 5기 수입지출장부'!$A$5:$A$2013,"&lt;"&amp;DATE(2026,O$5+1,1),'3. 5기 수입지출장부'!$E$5:$E$2013,"&gt;0")&gt;0,"■","")</f>
        <v/>
      </c>
      <c r="P13" s="14" t="str">
        <f>IF(COUNTIFS('3. 5기 수입지출장부'!$C$5:$C$2013,$C12,'3. 5기 수입지출장부'!$A$5:$A$2013,"&gt;="&amp;DATE(2026,P$5,1),'3. 5기 수입지출장부'!$A$5:$A$2013,"&lt;"&amp;DATE(2026,P$5+1,1),'3. 5기 수입지출장부'!$E$5:$E$2013,"&gt;0")&gt;0,"■","")</f>
        <v/>
      </c>
      <c r="Q13" s="182">
        <f>'3. 5기 수입지출장부'!E205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수입지출장부'!$C$5:$C$2013,$C14,'3. 5기 수입지출장부'!$A$5:$A$2013,"&gt;="&amp;DATE(2026,E$5,1),'3. 5기 수입지출장부'!$A$5:$A$2013,"&lt;"&amp;DATE(2026,E$5+1,1),'3. 5기 수입지출장부'!$E$5:$E$2013,"&gt;0")&gt;0,"■","")</f>
        <v/>
      </c>
      <c r="F15" s="14" t="str">
        <f>IF(COUNTIFS('3. 5기 수입지출장부'!$C$5:$C$2013,$C14,'3. 5기 수입지출장부'!$A$5:$A$2013,"&gt;="&amp;DATE(2026,F$5,1),'3. 5기 수입지출장부'!$A$5:$A$2013,"&lt;"&amp;DATE(2026,F$5+1,1),'3. 5기 수입지출장부'!$E$5:$E$2013,"&gt;0")&gt;0,"■","")</f>
        <v/>
      </c>
      <c r="G15" s="14" t="str">
        <f>IF(COUNTIFS('3. 5기 수입지출장부'!$C$5:$C$2013,$C14,'3. 5기 수입지출장부'!$A$5:$A$2013,"&gt;="&amp;DATE(2026,G$5,1),'3. 5기 수입지출장부'!$A$5:$A$2013,"&lt;"&amp;DATE(2026,G$5+1,1),'3. 5기 수입지출장부'!$E$5:$E$2013,"&gt;0")&gt;0,"■","")</f>
        <v/>
      </c>
      <c r="H15" s="9" t="str">
        <f>IF(COUNTIFS('3. 5기 수입지출장부'!$C$5:$C$2013,$C14,'3. 5기 수입지출장부'!$A$5:$A$2013,"&gt;="&amp;DATE(2026,H$5,1),'3. 5기 수입지출장부'!$A$5:$A$2013,"&lt;"&amp;DATE(2026,H$5+1,1),'3. 5기 수입지출장부'!$E$5:$E$2013,"&gt;0")&gt;0,"■","")</f>
        <v/>
      </c>
      <c r="I15" s="14" t="str">
        <f>IF(COUNTIFS('3. 5기 수입지출장부'!$C$5:$C$2013,$C14,'3. 5기 수입지출장부'!$A$5:$A$2013,"&gt;="&amp;DATE(2026,I$5,1),'3. 5기 수입지출장부'!$A$5:$A$2013,"&lt;"&amp;DATE(2026,I$5+1,1),'3. 5기 수입지출장부'!$E$5:$E$2013,"&gt;0")&gt;0,"■","")</f>
        <v/>
      </c>
      <c r="J15" s="14" t="str">
        <f>IF(COUNTIFS('3. 5기 수입지출장부'!$C$5:$C$2013,$C14,'3. 5기 수입지출장부'!$A$5:$A$2013,"&gt;="&amp;DATE(2026,J$5,1),'3. 5기 수입지출장부'!$A$5:$A$2013,"&lt;"&amp;DATE(2026,J$5+1,1),'3. 5기 수입지출장부'!$E$5:$E$2013,"&gt;0")&gt;0,"■","")</f>
        <v/>
      </c>
      <c r="K15" s="14" t="str">
        <f>IF(COUNTIFS('3. 5기 수입지출장부'!$C$5:$C$2013,$C14,'3. 5기 수입지출장부'!$A$5:$A$2013,"&gt;="&amp;DATE(2026,K$5,1),'3. 5기 수입지출장부'!$A$5:$A$2013,"&lt;"&amp;DATE(2026,K$5+1,1),'3. 5기 수입지출장부'!$E$5:$E$2013,"&gt;0")&gt;0,"■","")</f>
        <v/>
      </c>
      <c r="L15" s="14" t="str">
        <f>IF(COUNTIFS('3. 5기 수입지출장부'!$C$5:$C$2013,$C14,'3. 5기 수입지출장부'!$A$5:$A$2013,"&gt;="&amp;DATE(2026,L$5,1),'3. 5기 수입지출장부'!$A$5:$A$2013,"&lt;"&amp;DATE(2026,L$5+1,1),'3. 5기 수입지출장부'!$E$5:$E$2013,"&gt;0")&gt;0,"■","")</f>
        <v/>
      </c>
      <c r="M15" s="14" t="str">
        <f>IF(COUNTIFS('3. 5기 수입지출장부'!$C$5:$C$2013,$C14,'3. 5기 수입지출장부'!$A$5:$A$2013,"&gt;="&amp;DATE(2026,M$5,1),'3. 5기 수입지출장부'!$A$5:$A$2013,"&lt;"&amp;DATE(2026,M$5+1,1),'3. 5기 수입지출장부'!$E$5:$E$2013,"&gt;0")&gt;0,"■","")</f>
        <v>■</v>
      </c>
      <c r="N15" s="14" t="str">
        <f>IF(COUNTIFS('3. 5기 수입지출장부'!$C$5:$C$2013,$C14,'3. 5기 수입지출장부'!$A$5:$A$2013,"&gt;="&amp;DATE(2026,N$5,1),'3. 5기 수입지출장부'!$A$5:$A$2013,"&lt;"&amp;DATE(2026,N$5+1,1),'3. 5기 수입지출장부'!$E$5:$E$2013,"&gt;0")&gt;0,"■","")</f>
        <v/>
      </c>
      <c r="O15" s="14" t="str">
        <f>IF(COUNTIFS('3. 5기 수입지출장부'!$C$5:$C$2013,$C14,'3. 5기 수입지출장부'!$A$5:$A$2013,"&gt;="&amp;DATE(2026,O$5,1),'3. 5기 수입지출장부'!$A$5:$A$2013,"&lt;"&amp;DATE(2026,O$5+1,1),'3. 5기 수입지출장부'!$E$5:$E$2013,"&gt;0")&gt;0,"■","")</f>
        <v/>
      </c>
      <c r="P15" s="14" t="str">
        <f>IF(COUNTIFS('3. 5기 수입지출장부'!$C$5:$C$2013,$C14,'3. 5기 수입지출장부'!$A$5:$A$2013,"&gt;="&amp;DATE(2026,P$5,1),'3. 5기 수입지출장부'!$A$5:$A$2013,"&lt;"&amp;DATE(2026,P$5+1,1),'3. 5기 수입지출장부'!$E$5:$E$2013,"&gt;0")&gt;0,"■","")</f>
        <v/>
      </c>
      <c r="Q15" s="199">
        <f>'3. 5기 수입지출장부'!E206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수입지출장부'!$C$5:$C$2013,$C16,'3. 5기 수입지출장부'!$A$5:$A$2013,"&gt;="&amp;DATE(2026,E$5,1),'3. 5기 수입지출장부'!$A$5:$A$2013,"&lt;"&amp;DATE(2026,E$5+1,1),'3. 5기 수입지출장부'!$E$5:$E$2013,"&gt;0")&gt;0,"■","")</f>
        <v/>
      </c>
      <c r="F17" s="14" t="str">
        <f>IF(COUNTIFS('3. 5기 수입지출장부'!$C$5:$C$2013,$C16,'3. 5기 수입지출장부'!$A$5:$A$2013,"&gt;="&amp;DATE(2026,F$5,1),'3. 5기 수입지출장부'!$A$5:$A$2013,"&lt;"&amp;DATE(2026,F$5+1,1),'3. 5기 수입지출장부'!$E$5:$E$2013,"&gt;0")&gt;0,"■","")</f>
        <v/>
      </c>
      <c r="G17" s="14" t="str">
        <f>IF(COUNTIFS('3. 5기 수입지출장부'!$C$5:$C$2013,$C16,'3. 5기 수입지출장부'!$A$5:$A$2013,"&gt;="&amp;DATE(2026,G$5,1),'3. 5기 수입지출장부'!$A$5:$A$2013,"&lt;"&amp;DATE(2026,G$5+1,1),'3. 5기 수입지출장부'!$E$5:$E$2013,"&gt;0")&gt;0,"■","")</f>
        <v/>
      </c>
      <c r="H17" s="9" t="str">
        <f>IF(COUNTIFS('3. 5기 수입지출장부'!$C$5:$C$2013,$C16,'3. 5기 수입지출장부'!$A$5:$A$2013,"&gt;="&amp;DATE(2026,H$5,1),'3. 5기 수입지출장부'!$A$5:$A$2013,"&lt;"&amp;DATE(2026,H$5+1,1),'3. 5기 수입지출장부'!$E$5:$E$2013,"&gt;0")&gt;0,"■","")</f>
        <v/>
      </c>
      <c r="I17" s="14" t="str">
        <f>IF(COUNTIFS('3. 5기 수입지출장부'!$C$5:$C$2013,$C16,'3. 5기 수입지출장부'!$A$5:$A$2013,"&gt;="&amp;DATE(2026,I$5,1),'3. 5기 수입지출장부'!$A$5:$A$2013,"&lt;"&amp;DATE(2026,I$5+1,1),'3. 5기 수입지출장부'!$E$5:$E$2013,"&gt;0")&gt;0,"■","")</f>
        <v/>
      </c>
      <c r="J17" s="14" t="str">
        <f>IF(COUNTIFS('3. 5기 수입지출장부'!$C$5:$C$2013,$C16,'3. 5기 수입지출장부'!$A$5:$A$2013,"&gt;="&amp;DATE(2026,J$5,1),'3. 5기 수입지출장부'!$A$5:$A$2013,"&lt;"&amp;DATE(2026,J$5+1,1),'3. 5기 수입지출장부'!$E$5:$E$2013,"&gt;0")&gt;0,"■","")</f>
        <v/>
      </c>
      <c r="K17" s="14" t="str">
        <f>IF(COUNTIFS('3. 5기 수입지출장부'!$C$5:$C$2013,$C16,'3. 5기 수입지출장부'!$A$5:$A$2013,"&gt;="&amp;DATE(2026,K$5,1),'3. 5기 수입지출장부'!$A$5:$A$2013,"&lt;"&amp;DATE(2026,K$5+1,1),'3. 5기 수입지출장부'!$E$5:$E$2013,"&gt;0")&gt;0,"■","")</f>
        <v/>
      </c>
      <c r="L17" s="14" t="str">
        <f>IF(COUNTIFS('3. 5기 수입지출장부'!$C$5:$C$2013,$C16,'3. 5기 수입지출장부'!$A$5:$A$2013,"&gt;="&amp;DATE(2026,L$5,1),'3. 5기 수입지출장부'!$A$5:$A$2013,"&lt;"&amp;DATE(2026,L$5+1,1),'3. 5기 수입지출장부'!$E$5:$E$2013,"&gt;0")&gt;0,"■","")</f>
        <v>■</v>
      </c>
      <c r="M17" s="14" t="str">
        <f>IF(COUNTIFS('3. 5기 수입지출장부'!$C$5:$C$2013,$C16,'3. 5기 수입지출장부'!$A$5:$A$2013,"&gt;="&amp;DATE(2026,M$5,1),'3. 5기 수입지출장부'!$A$5:$A$2013,"&lt;"&amp;DATE(2026,M$5+1,1),'3. 5기 수입지출장부'!$E$5:$E$2013,"&gt;0")&gt;0,"■","")</f>
        <v/>
      </c>
      <c r="N17" s="14" t="str">
        <f>IF(COUNTIFS('3. 5기 수입지출장부'!$C$5:$C$2013,$C16,'3. 5기 수입지출장부'!$A$5:$A$2013,"&gt;="&amp;DATE(2026,N$5,1),'3. 5기 수입지출장부'!$A$5:$A$2013,"&lt;"&amp;DATE(2026,N$5+1,1),'3. 5기 수입지출장부'!$E$5:$E$2013,"&gt;0")&gt;0,"■","")</f>
        <v/>
      </c>
      <c r="O17" s="14" t="str">
        <f>IF(COUNTIFS('3. 5기 수입지출장부'!$C$5:$C$2013,$C16,'3. 5기 수입지출장부'!$A$5:$A$2013,"&gt;="&amp;DATE(2026,O$5,1),'3. 5기 수입지출장부'!$A$5:$A$2013,"&lt;"&amp;DATE(2026,O$5+1,1),'3. 5기 수입지출장부'!$E$5:$E$2013,"&gt;0")&gt;0,"■","")</f>
        <v/>
      </c>
      <c r="P17" s="14" t="str">
        <f>IF(COUNTIFS('3. 5기 수입지출장부'!$C$5:$C$2013,$C16,'3. 5기 수입지출장부'!$A$5:$A$2013,"&gt;="&amp;DATE(2026,P$5,1),'3. 5기 수입지출장부'!$A$5:$A$2013,"&lt;"&amp;DATE(2026,P$5+1,1),'3. 5기 수입지출장부'!$E$5:$E$2013,"&gt;0")&gt;0,"■","")</f>
        <v/>
      </c>
      <c r="Q17" s="182">
        <f>'3. 5기 수입지출장부'!E207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수입지출장부'!$C$5:$C$2013,$C18,'3. 5기 수입지출장부'!$A$5:$A$2013,"&gt;="&amp;DATE(2026,E$5,1),'3. 5기 수입지출장부'!$A$5:$A$2013,"&lt;"&amp;DATE(2026,E$5+1,1),'3. 5기 수입지출장부'!$E$5:$E$2013,"&gt;0")&gt;0,"■","")</f>
        <v/>
      </c>
      <c r="F19" s="5" t="str">
        <f>IF(COUNTIFS('3. 5기 수입지출장부'!$C$5:$C$2013,$C18,'3. 5기 수입지출장부'!$A$5:$A$2013,"&gt;="&amp;DATE(2026,F$5,1),'3. 5기 수입지출장부'!$A$5:$A$2013,"&lt;"&amp;DATE(2026,F$5+1,1),'3. 5기 수입지출장부'!$E$5:$E$2013,"&gt;0")&gt;0,"■","")</f>
        <v/>
      </c>
      <c r="G19" s="14" t="str">
        <f>IF(COUNTIFS('3. 5기 수입지출장부'!$C$5:$C$2013,$C18,'3. 5기 수입지출장부'!$A$5:$A$2013,"&gt;="&amp;DATE(2026,G$5,1),'3. 5기 수입지출장부'!$A$5:$A$2013,"&lt;"&amp;DATE(2026,G$5+1,1),'3. 5기 수입지출장부'!$E$5:$E$2013,"&gt;0")&gt;0,"■","")</f>
        <v/>
      </c>
      <c r="H19" s="9" t="str">
        <f>IF(COUNTIFS('3. 5기 수입지출장부'!$C$5:$C$2013,$C18,'3. 5기 수입지출장부'!$A$5:$A$2013,"&gt;="&amp;DATE(2026,H$5,1),'3. 5기 수입지출장부'!$A$5:$A$2013,"&lt;"&amp;DATE(2026,H$5+1,1),'3. 5기 수입지출장부'!$E$5:$E$2013,"&gt;0")&gt;0,"■","")</f>
        <v/>
      </c>
      <c r="I19" s="9" t="str">
        <f>IF(COUNTIFS('3. 5기 수입지출장부'!$C$5:$C$2013,$C18,'3. 5기 수입지출장부'!$A$5:$A$2013,"&gt;="&amp;DATE(2026,I$5,1),'3. 5기 수입지출장부'!$A$5:$A$2013,"&lt;"&amp;DATE(2026,I$5+1,1),'3. 5기 수입지출장부'!$E$5:$E$2013,"&gt;0")&gt;0,"■","")</f>
        <v/>
      </c>
      <c r="J19" s="14" t="str">
        <f>IF(COUNTIFS('3. 5기 수입지출장부'!$C$5:$C$2013,$C18,'3. 5기 수입지출장부'!$A$5:$A$2013,"&gt;="&amp;DATE(2026,J$5,1),'3. 5기 수입지출장부'!$A$5:$A$2013,"&lt;"&amp;DATE(2026,J$5+1,1),'3. 5기 수입지출장부'!$E$5:$E$2013,"&gt;0")&gt;0,"■","")</f>
        <v/>
      </c>
      <c r="K19" s="14" t="str">
        <f>IF(COUNTIFS('3. 5기 수입지출장부'!$C$5:$C$2013,$C18,'3. 5기 수입지출장부'!$A$5:$A$2013,"&gt;="&amp;DATE(2026,K$5,1),'3. 5기 수입지출장부'!$A$5:$A$2013,"&lt;"&amp;DATE(2026,K$5+1,1),'3. 5기 수입지출장부'!$E$5:$E$2013,"&gt;0")&gt;0,"■","")</f>
        <v/>
      </c>
      <c r="L19" s="14" t="str">
        <f>IF(COUNTIFS('3. 5기 수입지출장부'!$C$5:$C$2013,$C18,'3. 5기 수입지출장부'!$A$5:$A$2013,"&gt;="&amp;DATE(2026,L$5,1),'3. 5기 수입지출장부'!$A$5:$A$2013,"&lt;"&amp;DATE(2026,L$5+1,1),'3. 5기 수입지출장부'!$E$5:$E$2013,"&gt;0")&gt;0,"■","")</f>
        <v/>
      </c>
      <c r="M19" s="14" t="str">
        <f>IF(COUNTIFS('3. 5기 수입지출장부'!$C$5:$C$2013,$C18,'3. 5기 수입지출장부'!$A$5:$A$2013,"&gt;="&amp;DATE(2026,M$5,1),'3. 5기 수입지출장부'!$A$5:$A$2013,"&lt;"&amp;DATE(2026,M$5+1,1),'3. 5기 수입지출장부'!$E$5:$E$2013,"&gt;0")&gt;0,"■","")</f>
        <v/>
      </c>
      <c r="N19" s="14" t="str">
        <f>IF(COUNTIFS('3. 5기 수입지출장부'!$C$5:$C$2013,$C18,'3. 5기 수입지출장부'!$A$5:$A$2013,"&gt;="&amp;DATE(2026,N$5,1),'3. 5기 수입지출장부'!$A$5:$A$2013,"&lt;"&amp;DATE(2026,N$5+1,1),'3. 5기 수입지출장부'!$E$5:$E$2013,"&gt;0")&gt;0,"■","")</f>
        <v/>
      </c>
      <c r="O19" s="14" t="str">
        <f>IF(COUNTIFS('3. 5기 수입지출장부'!$C$5:$C$2013,$C18,'3. 5기 수입지출장부'!$A$5:$A$2013,"&gt;="&amp;DATE(2026,O$5,1),'3. 5기 수입지출장부'!$A$5:$A$2013,"&lt;"&amp;DATE(2026,O$5+1,1),'3. 5기 수입지출장부'!$E$5:$E$2013,"&gt;0")&gt;0,"■","")</f>
        <v/>
      </c>
      <c r="P19" s="14" t="str">
        <f>IF(COUNTIFS('3. 5기 수입지출장부'!$C$5:$C$2013,$C18,'3. 5기 수입지출장부'!$A$5:$A$2013,"&gt;="&amp;DATE(2026,P$5,1),'3. 5기 수입지출장부'!$A$5:$A$2013,"&lt;"&amp;DATE(2026,P$5+1,1),'3. 5기 수입지출장부'!$E$5:$E$2013,"&gt;0")&gt;0,"■","")</f>
        <v/>
      </c>
      <c r="Q19" s="239">
        <f>'3. 5기 수입지출장부'!E208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수입지출장부'!$C$5:$C$2013,$C20,'3. 5기 수입지출장부'!$A$5:$A$2013,"&gt;="&amp;DATE(2026,E$5,1),'3. 5기 수입지출장부'!$A$5:$A$2013,"&lt;"&amp;DATE(2026,E$5+1,1),'3. 5기 수입지출장부'!$E$5:$E$2013,"&gt;0")&gt;0,"■","")</f>
        <v/>
      </c>
      <c r="F21" s="14" t="str">
        <f>IF(COUNTIFS('3. 5기 수입지출장부'!$C$5:$C$2013,$C20,'3. 5기 수입지출장부'!$A$5:$A$2013,"&gt;="&amp;DATE(2026,F$5,1),'3. 5기 수입지출장부'!$A$5:$A$2013,"&lt;"&amp;DATE(2026,F$5+1,1),'3. 5기 수입지출장부'!$E$5:$E$2013,"&gt;0")&gt;0,"■","")</f>
        <v/>
      </c>
      <c r="G21" s="14" t="str">
        <f>IF(COUNTIFS('3. 5기 수입지출장부'!$C$5:$C$2013,$C20,'3. 5기 수입지출장부'!$A$5:$A$2013,"&gt;="&amp;DATE(2026,G$5,1),'3. 5기 수입지출장부'!$A$5:$A$2013,"&lt;"&amp;DATE(2026,G$5+1,1),'3. 5기 수입지출장부'!$E$5:$E$2013,"&gt;0")&gt;0,"■","")</f>
        <v/>
      </c>
      <c r="H21" s="9" t="str">
        <f>IF(COUNTIFS('3. 5기 수입지출장부'!$C$5:$C$2013,$C20,'3. 5기 수입지출장부'!$A$5:$A$2013,"&gt;="&amp;DATE(2026,H$5,1),'3. 5기 수입지출장부'!$A$5:$A$2013,"&lt;"&amp;DATE(2026,H$5+1,1),'3. 5기 수입지출장부'!$E$5:$E$2013,"&gt;0")&gt;0,"■","")</f>
        <v/>
      </c>
      <c r="I21" s="14" t="str">
        <f>IF(COUNTIFS('3. 5기 수입지출장부'!$C$5:$C$2013,$C20,'3. 5기 수입지출장부'!$A$5:$A$2013,"&gt;="&amp;DATE(2026,I$5,1),'3. 5기 수입지출장부'!$A$5:$A$2013,"&lt;"&amp;DATE(2026,I$5+1,1),'3. 5기 수입지출장부'!$E$5:$E$2013,"&gt;0")&gt;0,"■","")</f>
        <v/>
      </c>
      <c r="J21" s="9" t="str">
        <f>IF(COUNTIFS('3. 5기 수입지출장부'!$C$5:$C$2013,$C20,'3. 5기 수입지출장부'!$A$5:$A$2013,"&gt;="&amp;DATE(2026,J$5,1),'3. 5기 수입지출장부'!$A$5:$A$2013,"&lt;"&amp;DATE(2026,J$5+1,1),'3. 5기 수입지출장부'!$E$5:$E$2013,"&gt;0")&gt;0,"■","")</f>
        <v/>
      </c>
      <c r="K21" s="14" t="str">
        <f>IF(COUNTIFS('3. 5기 수입지출장부'!$C$5:$C$2013,$C20,'3. 5기 수입지출장부'!$A$5:$A$2013,"&gt;="&amp;DATE(2026,K$5,1),'3. 5기 수입지출장부'!$A$5:$A$2013,"&lt;"&amp;DATE(2026,K$5+1,1),'3. 5기 수입지출장부'!$E$5:$E$2013,"&gt;0")&gt;0,"■","")</f>
        <v/>
      </c>
      <c r="L21" s="14" t="str">
        <f>IF(COUNTIFS('3. 5기 수입지출장부'!$C$5:$C$2013,$C20,'3. 5기 수입지출장부'!$A$5:$A$2013,"&gt;="&amp;DATE(2026,L$5,1),'3. 5기 수입지출장부'!$A$5:$A$2013,"&lt;"&amp;DATE(2026,L$5+1,1),'3. 5기 수입지출장부'!$E$5:$E$2013,"&gt;0")&gt;0,"■","")</f>
        <v>■</v>
      </c>
      <c r="M21" s="14" t="str">
        <f>IF(COUNTIFS('3. 5기 수입지출장부'!$C$5:$C$2013,$C20,'3. 5기 수입지출장부'!$A$5:$A$2013,"&gt;="&amp;DATE(2026,M$5,1),'3. 5기 수입지출장부'!$A$5:$A$2013,"&lt;"&amp;DATE(2026,M$5+1,1),'3. 5기 수입지출장부'!$E$5:$E$2013,"&gt;0")&gt;0,"■","")</f>
        <v/>
      </c>
      <c r="N21" s="14" t="str">
        <f>IF(COUNTIFS('3. 5기 수입지출장부'!$C$5:$C$2013,$C20,'3. 5기 수입지출장부'!$A$5:$A$2013,"&gt;="&amp;DATE(2026,N$5,1),'3. 5기 수입지출장부'!$A$5:$A$2013,"&lt;"&amp;DATE(2026,N$5+1,1),'3. 5기 수입지출장부'!$E$5:$E$2013,"&gt;0")&gt;0,"■","")</f>
        <v/>
      </c>
      <c r="O21" s="21" t="str">
        <f>IF(COUNTIFS('3. 5기 수입지출장부'!$C$5:$C$2013,$C20,'3. 5기 수입지출장부'!$A$5:$A$2013,"&gt;="&amp;DATE(2026,O$5,1),'3. 5기 수입지출장부'!$A$5:$A$2013,"&lt;"&amp;DATE(2026,O$5+1,1),'3. 5기 수입지출장부'!$E$5:$E$2013,"&gt;0")&gt;0,"■","")</f>
        <v/>
      </c>
      <c r="P21" s="14" t="str">
        <f>IF(COUNTIFS('3. 5기 수입지출장부'!$C$5:$C$2013,$C20,'3. 5기 수입지출장부'!$A$5:$A$2013,"&gt;="&amp;DATE(2026,P$5,1),'3. 5기 수입지출장부'!$A$5:$A$2013,"&lt;"&amp;DATE(2026,P$5+1,1),'3. 5기 수입지출장부'!$E$5:$E$2013,"&gt;0")&gt;0,"■","")</f>
        <v/>
      </c>
      <c r="Q21" s="182">
        <f>'3. 5기 수입지출장부'!E209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0.95351666666666668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수입지출장부'!$C$5:$C$2013,$C22,'3. 5기 수입지출장부'!$A$5:$A$2013,"&gt;="&amp;DATE(2026,E$5,1),'3. 5기 수입지출장부'!$A$5:$A$2013,"&lt;"&amp;DATE(2026,E$5+1,1),'3. 5기 수입지출장부'!$E$5:$E$2013,"&gt;0")&gt;0,"■","")</f>
        <v/>
      </c>
      <c r="F23" s="9" t="str">
        <f>IF(COUNTIFS('3. 5기 수입지출장부'!$C$5:$C$2013,$C22,'3. 5기 수입지출장부'!$A$5:$A$2013,"&gt;="&amp;DATE(2026,F$5,1),'3. 5기 수입지출장부'!$A$5:$A$2013,"&lt;"&amp;DATE(2026,F$5+1,1),'3. 5기 수입지출장부'!$E$5:$E$2013,"&gt;0")&gt;0,"■","")</f>
        <v/>
      </c>
      <c r="G23" s="9" t="str">
        <f>IF(COUNTIFS('3. 5기 수입지출장부'!$C$5:$C$2013,$C22,'3. 5기 수입지출장부'!$A$5:$A$2013,"&gt;="&amp;DATE(2026,G$5,1),'3. 5기 수입지출장부'!$A$5:$A$2013,"&lt;"&amp;DATE(2026,G$5+1,1),'3. 5기 수입지출장부'!$E$5:$E$2013,"&gt;0")&gt;0,"■","")</f>
        <v>■</v>
      </c>
      <c r="H23" s="9" t="str">
        <f>IF(COUNTIFS('3. 5기 수입지출장부'!$C$5:$C$2013,$C22,'3. 5기 수입지출장부'!$A$5:$A$2013,"&gt;="&amp;DATE(2026,H$5,1),'3. 5기 수입지출장부'!$A$5:$A$2013,"&lt;"&amp;DATE(2026,H$5+1,1),'3. 5기 수입지출장부'!$E$5:$E$2013,"&gt;0")&gt;0,"■","")</f>
        <v>■</v>
      </c>
      <c r="I23" s="9" t="str">
        <f>IF(COUNTIFS('3. 5기 수입지출장부'!$C$5:$C$2013,$C22,'3. 5기 수입지출장부'!$A$5:$A$2013,"&gt;="&amp;DATE(2026,I$5,1),'3. 5기 수입지출장부'!$A$5:$A$2013,"&lt;"&amp;DATE(2026,I$5+1,1),'3. 5기 수입지출장부'!$E$5:$E$2013,"&gt;0")&gt;0,"■","")</f>
        <v>■</v>
      </c>
      <c r="J23" s="9" t="str">
        <f>IF(COUNTIFS('3. 5기 수입지출장부'!$C$5:$C$2013,$C22,'3. 5기 수입지출장부'!$A$5:$A$2013,"&gt;="&amp;DATE(2026,J$5,1),'3. 5기 수입지출장부'!$A$5:$A$2013,"&lt;"&amp;DATE(2026,J$5+1,1),'3. 5기 수입지출장부'!$E$5:$E$2013,"&gt;0")&gt;0,"■","")</f>
        <v>■</v>
      </c>
      <c r="K23" s="9" t="str">
        <f>IF(COUNTIFS('3. 5기 수입지출장부'!$C$5:$C$2013,$C22,'3. 5기 수입지출장부'!$A$5:$A$2013,"&gt;="&amp;DATE(2026,K$5,1),'3. 5기 수입지출장부'!$A$5:$A$2013,"&lt;"&amp;DATE(2026,K$5+1,1),'3. 5기 수입지출장부'!$E$5:$E$2013,"&gt;0")&gt;0,"■","")</f>
        <v>■</v>
      </c>
      <c r="L23" s="9" t="str">
        <f>IF(COUNTIFS('3. 5기 수입지출장부'!$C$5:$C$2013,$C22,'3. 5기 수입지출장부'!$A$5:$A$2013,"&gt;="&amp;DATE(2026,L$5,1),'3. 5기 수입지출장부'!$A$5:$A$2013,"&lt;"&amp;DATE(2026,L$5+1,1),'3. 5기 수입지출장부'!$E$5:$E$2013,"&gt;0")&gt;0,"■","")</f>
        <v>■</v>
      </c>
      <c r="M23" s="9" t="str">
        <f>IF(COUNTIFS('3. 5기 수입지출장부'!$C$5:$C$2013,$C22,'3. 5기 수입지출장부'!$A$5:$A$2013,"&gt;="&amp;DATE(2026,M$5,1),'3. 5기 수입지출장부'!$A$5:$A$2013,"&lt;"&amp;DATE(2026,M$5+1,1),'3. 5기 수입지출장부'!$E$5:$E$2013,"&gt;0")&gt;0,"■","")</f>
        <v>■</v>
      </c>
      <c r="N23" s="9" t="str">
        <f>IF(COUNTIFS('3. 5기 수입지출장부'!$C$5:$C$2013,$C22,'3. 5기 수입지출장부'!$A$5:$A$2013,"&gt;="&amp;DATE(2026,N$5,1),'3. 5기 수입지출장부'!$A$5:$A$2013,"&lt;"&amp;DATE(2026,N$5+1,1),'3. 5기 수입지출장부'!$E$5:$E$2013,"&gt;0")&gt;0,"■","")</f>
        <v>■</v>
      </c>
      <c r="O23" s="9" t="str">
        <f>IF(COUNTIFS('3. 5기 수입지출장부'!$C$5:$C$2013,$C22,'3. 5기 수입지출장부'!$A$5:$A$2013,"&gt;="&amp;DATE(2026,O$5,1),'3. 5기 수입지출장부'!$A$5:$A$2013,"&lt;"&amp;DATE(2026,O$5+1,1),'3. 5기 수입지출장부'!$E$5:$E$2013,"&gt;0")&gt;0,"■","")</f>
        <v/>
      </c>
      <c r="P23" s="9" t="str">
        <f>IF(COUNTIFS('3. 5기 수입지출장부'!$C$5:$C$2013,$C22,'3. 5기 수입지출장부'!$A$5:$A$2013,"&gt;="&amp;DATE(2026,P$5,1),'3. 5기 수입지출장부'!$A$5:$A$2013,"&lt;"&amp;DATE(2026,P$5+1,1),'3. 5기 수입지출장부'!$E$5:$E$2013,"&gt;0")&gt;0,"■","")</f>
        <v/>
      </c>
      <c r="Q23" s="182">
        <f>'3. 5기 수입지출장부'!E211</f>
        <v>3432660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0.41846250000000002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수입지출장부'!$C$5:$C$2013,$C24,'3. 5기 수입지출장부'!$A$5:$A$2013,"&gt;="&amp;DATE(2026,E$5,1),'3. 5기 수입지출장부'!$A$5:$A$2013,"&lt;"&amp;DATE(2026,E$5+1,1),'3. 5기 수입지출장부'!$E$5:$E$2013,"&gt;0")&gt;0,"■","")</f>
        <v/>
      </c>
      <c r="F25" s="14" t="str">
        <f>IF(COUNTIFS('3. 5기 수입지출장부'!$C$5:$C$2013,$C24,'3. 5기 수입지출장부'!$A$5:$A$2013,"&gt;="&amp;DATE(2026,F$5,1),'3. 5기 수입지출장부'!$A$5:$A$2013,"&lt;"&amp;DATE(2026,F$5+1,1),'3. 5기 수입지출장부'!$E$5:$E$2013,"&gt;0")&gt;0,"■","")</f>
        <v/>
      </c>
      <c r="G25" s="9" t="str">
        <f>IF(COUNTIFS('3. 5기 수입지출장부'!$C$5:$C$2013,$C24,'3. 5기 수입지출장부'!$A$5:$A$2013,"&gt;="&amp;DATE(2026,G$5,1),'3. 5기 수입지출장부'!$A$5:$A$2013,"&lt;"&amp;DATE(2026,G$5+1,1),'3. 5기 수입지출장부'!$E$5:$E$2013,"&gt;0")&gt;0,"■","")</f>
        <v>■</v>
      </c>
      <c r="H25" s="9" t="str">
        <f>IF(COUNTIFS('3. 5기 수입지출장부'!$C$5:$C$2013,$C24,'3. 5기 수입지출장부'!$A$5:$A$2013,"&gt;="&amp;DATE(2026,H$5,1),'3. 5기 수입지출장부'!$A$5:$A$2013,"&lt;"&amp;DATE(2026,H$5+1,1),'3. 5기 수입지출장부'!$E$5:$E$2013,"&gt;0")&gt;0,"■","")</f>
        <v>■</v>
      </c>
      <c r="I25" s="9" t="str">
        <f>IF(COUNTIFS('3. 5기 수입지출장부'!$C$5:$C$2013,$C24,'3. 5기 수입지출장부'!$A$5:$A$2013,"&gt;="&amp;DATE(2026,I$5,1),'3. 5기 수입지출장부'!$A$5:$A$2013,"&lt;"&amp;DATE(2026,I$5+1,1),'3. 5기 수입지출장부'!$E$5:$E$2013,"&gt;0")&gt;0,"■","")</f>
        <v>■</v>
      </c>
      <c r="J25" s="9" t="str">
        <f>IF(COUNTIFS('3. 5기 수입지출장부'!$C$5:$C$2013,$C24,'3. 5기 수입지출장부'!$A$5:$A$2013,"&gt;="&amp;DATE(2026,J$5,1),'3. 5기 수입지출장부'!$A$5:$A$2013,"&lt;"&amp;DATE(2026,J$5+1,1),'3. 5기 수입지출장부'!$E$5:$E$2013,"&gt;0")&gt;0,"■","")</f>
        <v/>
      </c>
      <c r="K25" s="9" t="str">
        <f>IF(COUNTIFS('3. 5기 수입지출장부'!$C$5:$C$2013,$C24,'3. 5기 수입지출장부'!$A$5:$A$2013,"&gt;="&amp;DATE(2026,K$5,1),'3. 5기 수입지출장부'!$A$5:$A$2013,"&lt;"&amp;DATE(2026,K$5+1,1),'3. 5기 수입지출장부'!$E$5:$E$2013,"&gt;0")&gt;0,"■","")</f>
        <v>■</v>
      </c>
      <c r="L25" s="9" t="str">
        <f>IF(COUNTIFS('3. 5기 수입지출장부'!$C$5:$C$2013,$C24,'3. 5기 수입지출장부'!$A$5:$A$2013,"&gt;="&amp;DATE(2026,L$5,1),'3. 5기 수입지출장부'!$A$5:$A$2013,"&lt;"&amp;DATE(2026,L$5+1,1),'3. 5기 수입지출장부'!$E$5:$E$2013,"&gt;0")&gt;0,"■","")</f>
        <v>■</v>
      </c>
      <c r="M25" s="9" t="str">
        <f>IF(COUNTIFS('3. 5기 수입지출장부'!$C$5:$C$2013,$C24,'3. 5기 수입지출장부'!$A$5:$A$2013,"&gt;="&amp;DATE(2026,M$5,1),'3. 5기 수입지출장부'!$A$5:$A$2013,"&lt;"&amp;DATE(2026,M$5+1,1),'3. 5기 수입지출장부'!$E$5:$E$2013,"&gt;0")&gt;0,"■","")</f>
        <v>■</v>
      </c>
      <c r="N25" s="9" t="str">
        <f>IF(COUNTIFS('3. 5기 수입지출장부'!$C$5:$C$2013,$C24,'3. 5기 수입지출장부'!$A$5:$A$2013,"&gt;="&amp;DATE(2026,N$5,1),'3. 5기 수입지출장부'!$A$5:$A$2013,"&lt;"&amp;DATE(2026,N$5+1,1),'3. 5기 수입지출장부'!$E$5:$E$2013,"&gt;0")&gt;0,"■","")</f>
        <v>■</v>
      </c>
      <c r="O25" s="9" t="str">
        <f>IF(COUNTIFS('3. 5기 수입지출장부'!$C$5:$C$2013,$C24,'3. 5기 수입지출장부'!$A$5:$A$2013,"&gt;="&amp;DATE(2026,O$5,1),'3. 5기 수입지출장부'!$A$5:$A$2013,"&lt;"&amp;DATE(2026,O$5+1,1),'3. 5기 수입지출장부'!$E$5:$E$2013,"&gt;0")&gt;0,"■","")</f>
        <v/>
      </c>
      <c r="P25" s="9" t="str">
        <f>IF(COUNTIFS('3. 5기 수입지출장부'!$C$5:$C$2013,$C24,'3. 5기 수입지출장부'!$A$5:$A$2013,"&gt;="&amp;DATE(2026,P$5,1),'3. 5기 수입지출장부'!$A$5:$A$2013,"&lt;"&amp;DATE(2026,P$5+1,1),'3. 5기 수입지출장부'!$E$5:$E$2013,"&gt;0")&gt;0,"■","")</f>
        <v/>
      </c>
      <c r="Q25" s="182">
        <f>'3. 5기 수입지출장부'!E212</f>
        <v>3347700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수입지출장부'!$C$5:$C$2013,$C26,'3. 5기 수입지출장부'!$A$5:$A$2013,"&gt;="&amp;DATE(2026,E$5,1),'3. 5기 수입지출장부'!$A$5:$A$2013,"&lt;"&amp;DATE(2026,E$5+1,1),'3. 5기 수입지출장부'!$E$5:$E$2013,"&gt;0")&gt;0,"■","")</f>
        <v/>
      </c>
      <c r="F27" s="14" t="str">
        <f>IF(COUNTIFS('3. 5기 수입지출장부'!$C$5:$C$2013,$C26,'3. 5기 수입지출장부'!$A$5:$A$2013,"&gt;="&amp;DATE(2026,F$5,1),'3. 5기 수입지출장부'!$A$5:$A$2013,"&lt;"&amp;DATE(2026,F$5+1,1),'3. 5기 수입지출장부'!$E$5:$E$2013,"&gt;0")&gt;0,"■","")</f>
        <v/>
      </c>
      <c r="G27" s="14" t="str">
        <f>IF(COUNTIFS('3. 5기 수입지출장부'!$C$5:$C$2013,$C26,'3. 5기 수입지출장부'!$A$5:$A$2013,"&gt;="&amp;DATE(2026,G$5,1),'3. 5기 수입지출장부'!$A$5:$A$2013,"&lt;"&amp;DATE(2026,G$5+1,1),'3. 5기 수입지출장부'!$E$5:$E$2013,"&gt;0")&gt;0,"■","")</f>
        <v/>
      </c>
      <c r="H27" s="14" t="str">
        <f>IF(COUNTIFS('3. 5기 수입지출장부'!$C$5:$C$2013,$C26,'3. 5기 수입지출장부'!$A$5:$A$2013,"&gt;="&amp;DATE(2026,H$5,1),'3. 5기 수입지출장부'!$A$5:$A$2013,"&lt;"&amp;DATE(2026,H$5+1,1),'3. 5기 수입지출장부'!$E$5:$E$2013,"&gt;0")&gt;0,"■","")</f>
        <v/>
      </c>
      <c r="I27" s="14" t="str">
        <f>IF(COUNTIFS('3. 5기 수입지출장부'!$C$5:$C$2013,$C26,'3. 5기 수입지출장부'!$A$5:$A$2013,"&gt;="&amp;DATE(2026,I$5,1),'3. 5기 수입지출장부'!$A$5:$A$2013,"&lt;"&amp;DATE(2026,I$5+1,1),'3. 5기 수입지출장부'!$E$5:$E$2013,"&gt;0")&gt;0,"■","")</f>
        <v/>
      </c>
      <c r="J27" s="14" t="str">
        <f>IF(COUNTIFS('3. 5기 수입지출장부'!$C$5:$C$2013,$C26,'3. 5기 수입지출장부'!$A$5:$A$2013,"&gt;="&amp;DATE(2026,J$5,1),'3. 5기 수입지출장부'!$A$5:$A$2013,"&lt;"&amp;DATE(2026,J$5+1,1),'3. 5기 수입지출장부'!$E$5:$E$2013,"&gt;0")&gt;0,"■","")</f>
        <v/>
      </c>
      <c r="K27" s="14" t="str">
        <f>IF(COUNTIFS('3. 5기 수입지출장부'!$C$5:$C$2013,$C26,'3. 5기 수입지출장부'!$A$5:$A$2013,"&gt;="&amp;DATE(2026,K$5,1),'3. 5기 수입지출장부'!$A$5:$A$2013,"&lt;"&amp;DATE(2026,K$5+1,1),'3. 5기 수입지출장부'!$E$5:$E$2013,"&gt;0")&gt;0,"■","")</f>
        <v/>
      </c>
      <c r="L27" s="14" t="str">
        <f>IF(COUNTIFS('3. 5기 수입지출장부'!$C$5:$C$2013,$C26,'3. 5기 수입지출장부'!$A$5:$A$2013,"&gt;="&amp;DATE(2026,L$5,1),'3. 5기 수입지출장부'!$A$5:$A$2013,"&lt;"&amp;DATE(2026,L$5+1,1),'3. 5기 수입지출장부'!$E$5:$E$2013,"&gt;0")&gt;0,"■","")</f>
        <v/>
      </c>
      <c r="M27" s="14" t="str">
        <f>IF(COUNTIFS('3. 5기 수입지출장부'!$C$5:$C$2013,$C26,'3. 5기 수입지출장부'!$A$5:$A$2013,"&gt;="&amp;DATE(2026,M$5,1),'3. 5기 수입지출장부'!$A$5:$A$2013,"&lt;"&amp;DATE(2026,M$5+1,1),'3. 5기 수입지출장부'!$E$5:$E$2013,"&gt;0")&gt;0,"■","")</f>
        <v/>
      </c>
      <c r="N27" s="14" t="str">
        <f>IF(COUNTIFS('3. 5기 수입지출장부'!$C$5:$C$2013,$C26,'3. 5기 수입지출장부'!$A$5:$A$2013,"&gt;="&amp;DATE(2026,N$5,1),'3. 5기 수입지출장부'!$A$5:$A$2013,"&lt;"&amp;DATE(2026,N$5+1,1),'3. 5기 수입지출장부'!$E$5:$E$2013,"&gt;0")&gt;0,"■","")</f>
        <v/>
      </c>
      <c r="O27" s="14" t="str">
        <f>IF(COUNTIFS('3. 5기 수입지출장부'!$C$5:$C$2013,$C26,'3. 5기 수입지출장부'!$A$5:$A$2013,"&gt;="&amp;DATE(2026,O$5,1),'3. 5기 수입지출장부'!$A$5:$A$2013,"&lt;"&amp;DATE(2026,O$5+1,1),'3. 5기 수입지출장부'!$E$5:$E$2013,"&gt;0")&gt;0,"■","")</f>
        <v/>
      </c>
      <c r="P27" s="9" t="str">
        <f>IF(COUNTIFS('3. 5기 수입지출장부'!$C$5:$C$2013,$C26,'3. 5기 수입지출장부'!$A$5:$A$2013,"&gt;="&amp;DATE(2026,P$5,1),'3. 5기 수입지출장부'!$A$5:$A$2013,"&lt;"&amp;DATE(2026,P$5+1,1),'3. 5기 수입지출장부'!$E$5:$E$2013,"&gt;0")&gt;0,"■","")</f>
        <v/>
      </c>
      <c r="Q27" s="182">
        <f>'3. 5기 수입지출장부'!E213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수입지출장부'!$C$5:$C$2013,$C28,'3. 5기 수입지출장부'!$A$5:$A$2013,"&gt;="&amp;DATE(2026,E$5,1),'3. 5기 수입지출장부'!$A$5:$A$2013,"&lt;"&amp;DATE(2026,E$5+1,1),'3. 5기 수입지출장부'!$E$5:$E$2013,"&gt;0")&gt;0,"■","")</f>
        <v/>
      </c>
      <c r="F29" s="14" t="str">
        <f>IF(COUNTIFS('3. 5기 수입지출장부'!$C$5:$C$2013,$C28,'3. 5기 수입지출장부'!$A$5:$A$2013,"&gt;="&amp;DATE(2026,F$5,1),'3. 5기 수입지출장부'!$A$5:$A$2013,"&lt;"&amp;DATE(2026,F$5+1,1),'3. 5기 수입지출장부'!$E$5:$E$2013,"&gt;0")&gt;0,"■","")</f>
        <v/>
      </c>
      <c r="G29" s="14" t="str">
        <f>IF(COUNTIFS('3. 5기 수입지출장부'!$C$5:$C$2013,$C28,'3. 5기 수입지출장부'!$A$5:$A$2013,"&gt;="&amp;DATE(2026,G$5,1),'3. 5기 수입지출장부'!$A$5:$A$2013,"&lt;"&amp;DATE(2026,G$5+1,1),'3. 5기 수입지출장부'!$E$5:$E$2013,"&gt;0")&gt;0,"■","")</f>
        <v/>
      </c>
      <c r="H29" s="14" t="str">
        <f>IF(COUNTIFS('3. 5기 수입지출장부'!$C$5:$C$2013,$C28,'3. 5기 수입지출장부'!$A$5:$A$2013,"&gt;="&amp;DATE(2026,H$5,1),'3. 5기 수입지출장부'!$A$5:$A$2013,"&lt;"&amp;DATE(2026,H$5+1,1),'3. 5기 수입지출장부'!$E$5:$E$2013,"&gt;0")&gt;0,"■","")</f>
        <v/>
      </c>
      <c r="I29" s="14" t="str">
        <f>IF(COUNTIFS('3. 5기 수입지출장부'!$C$5:$C$2013,$C28,'3. 5기 수입지출장부'!$A$5:$A$2013,"&gt;="&amp;DATE(2026,I$5,1),'3. 5기 수입지출장부'!$A$5:$A$2013,"&lt;"&amp;DATE(2026,I$5+1,1),'3. 5기 수입지출장부'!$E$5:$E$2013,"&gt;0")&gt;0,"■","")</f>
        <v/>
      </c>
      <c r="J29" s="14" t="str">
        <f>IF(COUNTIFS('3. 5기 수입지출장부'!$C$5:$C$2013,$C28,'3. 5기 수입지출장부'!$A$5:$A$2013,"&gt;="&amp;DATE(2026,J$5,1),'3. 5기 수입지출장부'!$A$5:$A$2013,"&lt;"&amp;DATE(2026,J$5+1,1),'3. 5기 수입지출장부'!$E$5:$E$2013,"&gt;0")&gt;0,"■","")</f>
        <v/>
      </c>
      <c r="K29" s="14" t="str">
        <f>IF(COUNTIFS('3. 5기 수입지출장부'!$C$5:$C$2013,$C28,'3. 5기 수입지출장부'!$A$5:$A$2013,"&gt;="&amp;DATE(2026,K$5,1),'3. 5기 수입지출장부'!$A$5:$A$2013,"&lt;"&amp;DATE(2026,K$5+1,1),'3. 5기 수입지출장부'!$E$5:$E$2013,"&gt;0")&gt;0,"■","")</f>
        <v/>
      </c>
      <c r="L29" s="14" t="str">
        <f>IF(COUNTIFS('3. 5기 수입지출장부'!$C$5:$C$2013,$C28,'3. 5기 수입지출장부'!$A$5:$A$2013,"&gt;="&amp;DATE(2026,L$5,1),'3. 5기 수입지출장부'!$A$5:$A$2013,"&lt;"&amp;DATE(2026,L$5+1,1),'3. 5기 수입지출장부'!$E$5:$E$2013,"&gt;0")&gt;0,"■","")</f>
        <v/>
      </c>
      <c r="M29" s="9" t="str">
        <f>IF(COUNTIFS('3. 5기 수입지출장부'!$C$5:$C$2013,$C28,'3. 5기 수입지출장부'!$A$5:$A$2013,"&gt;="&amp;DATE(2026,M$5,1),'3. 5기 수입지출장부'!$A$5:$A$2013,"&lt;"&amp;DATE(2026,M$5+1,1),'3. 5기 수입지출장부'!$E$5:$E$2013,"&gt;0")&gt;0,"■","")</f>
        <v/>
      </c>
      <c r="N29" s="9" t="str">
        <f>IF(COUNTIFS('3. 5기 수입지출장부'!$C$5:$C$2013,$C28,'3. 5기 수입지출장부'!$A$5:$A$2013,"&gt;="&amp;DATE(2026,N$5,1),'3. 5기 수입지출장부'!$A$5:$A$2013,"&lt;"&amp;DATE(2026,N$5+1,1),'3. 5기 수입지출장부'!$E$5:$E$2013,"&gt;0")&gt;0,"■","")</f>
        <v/>
      </c>
      <c r="O29" s="21" t="str">
        <f>IF(COUNTIFS('3. 5기 수입지출장부'!$C$5:$C$2013,$C28,'3. 5기 수입지출장부'!$A$5:$A$2013,"&gt;="&amp;DATE(2026,O$5,1),'3. 5기 수입지출장부'!$A$5:$A$2013,"&lt;"&amp;DATE(2026,O$5+1,1),'3. 5기 수입지출장부'!$E$5:$E$2013,"&gt;0")&gt;0,"■","")</f>
        <v/>
      </c>
      <c r="P29" s="14" t="str">
        <f>IF(COUNTIFS('3. 5기 수입지출장부'!$C$5:$C$2013,$C28,'3. 5기 수입지출장부'!$A$5:$A$2013,"&gt;="&amp;DATE(2026,P$5,1),'3. 5기 수입지출장부'!$A$5:$A$2013,"&lt;"&amp;DATE(2026,P$5+1,1),'3. 5기 수입지출장부'!$E$5:$E$2013,"&gt;0")&gt;0,"■","")</f>
        <v/>
      </c>
      <c r="Q29" s="182">
        <f>'3. 5기 수입지출장부'!E214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수입지출장부'!$C$5:$C$2013,$C30,'3. 5기 수입지출장부'!$A$5:$A$2013,"&gt;="&amp;DATE(2026,E$5,1),'3. 5기 수입지출장부'!$A$5:$A$2013,"&lt;"&amp;DATE(2026,E$5+1,1),'3. 5기 수입지출장부'!$E$5:$E$2013,"&gt;0")&gt;0,"■","")</f>
        <v/>
      </c>
      <c r="F31" s="14" t="str">
        <f>IF(COUNTIFS('3. 5기 수입지출장부'!$C$5:$C$2013,$C30,'3. 5기 수입지출장부'!$A$5:$A$2013,"&gt;="&amp;DATE(2026,F$5,1),'3. 5기 수입지출장부'!$A$5:$A$2013,"&lt;"&amp;DATE(2026,F$5+1,1),'3. 5기 수입지출장부'!$E$5:$E$2013,"&gt;0")&gt;0,"■","")</f>
        <v/>
      </c>
      <c r="G31" s="14" t="str">
        <f>IF(COUNTIFS('3. 5기 수입지출장부'!$C$5:$C$2013,$C30,'3. 5기 수입지출장부'!$A$5:$A$2013,"&gt;="&amp;DATE(2026,G$5,1),'3. 5기 수입지출장부'!$A$5:$A$2013,"&lt;"&amp;DATE(2026,G$5+1,1),'3. 5기 수입지출장부'!$E$5:$E$2013,"&gt;0")&gt;0,"■","")</f>
        <v/>
      </c>
      <c r="H31" s="14" t="str">
        <f>IF(COUNTIFS('3. 5기 수입지출장부'!$C$5:$C$2013,$C30,'3. 5기 수입지출장부'!$A$5:$A$2013,"&gt;="&amp;DATE(2026,H$5,1),'3. 5기 수입지출장부'!$A$5:$A$2013,"&lt;"&amp;DATE(2026,H$5+1,1),'3. 5기 수입지출장부'!$E$5:$E$2013,"&gt;0")&gt;0,"■","")</f>
        <v/>
      </c>
      <c r="I31" s="9" t="str">
        <f>IF(COUNTIFS('3. 5기 수입지출장부'!$C$5:$C$2013,$C30,'3. 5기 수입지출장부'!$A$5:$A$2013,"&gt;="&amp;DATE(2026,I$5,1),'3. 5기 수입지출장부'!$A$5:$A$2013,"&lt;"&amp;DATE(2026,I$5+1,1),'3. 5기 수입지출장부'!$E$5:$E$2013,"&gt;0")&gt;0,"■","")</f>
        <v/>
      </c>
      <c r="J31" s="9" t="str">
        <f>IF(COUNTIFS('3. 5기 수입지출장부'!$C$5:$C$2013,$C30,'3. 5기 수입지출장부'!$A$5:$A$2013,"&gt;="&amp;DATE(2026,J$5,1),'3. 5기 수입지출장부'!$A$5:$A$2013,"&lt;"&amp;DATE(2026,J$5+1,1),'3. 5기 수입지출장부'!$E$5:$E$2013,"&gt;0")&gt;0,"■","")</f>
        <v/>
      </c>
      <c r="K31" s="14" t="str">
        <f>IF(COUNTIFS('3. 5기 수입지출장부'!$C$5:$C$2013,$C30,'3. 5기 수입지출장부'!$A$5:$A$2013,"&gt;="&amp;DATE(2026,K$5,1),'3. 5기 수입지출장부'!$A$5:$A$2013,"&lt;"&amp;DATE(2026,K$5+1,1),'3. 5기 수입지출장부'!$E$5:$E$2013,"&gt;0")&gt;0,"■","")</f>
        <v/>
      </c>
      <c r="L31" s="14" t="str">
        <f>IF(COUNTIFS('3. 5기 수입지출장부'!$C$5:$C$2013,$C30,'3. 5기 수입지출장부'!$A$5:$A$2013,"&gt;="&amp;DATE(2026,L$5,1),'3. 5기 수입지출장부'!$A$5:$A$2013,"&lt;"&amp;DATE(2026,L$5+1,1),'3. 5기 수입지출장부'!$E$5:$E$2013,"&gt;0")&gt;0,"■","")</f>
        <v/>
      </c>
      <c r="M31" s="14" t="str">
        <f>IF(COUNTIFS('3. 5기 수입지출장부'!$C$5:$C$2013,$C30,'3. 5기 수입지출장부'!$A$5:$A$2013,"&gt;="&amp;DATE(2026,M$5,1),'3. 5기 수입지출장부'!$A$5:$A$2013,"&lt;"&amp;DATE(2026,M$5+1,1),'3. 5기 수입지출장부'!$E$5:$E$2013,"&gt;0")&gt;0,"■","")</f>
        <v/>
      </c>
      <c r="N31" s="14" t="str">
        <f>IF(COUNTIFS('3. 5기 수입지출장부'!$C$5:$C$2013,$C30,'3. 5기 수입지출장부'!$A$5:$A$2013,"&gt;="&amp;DATE(2026,N$5,1),'3. 5기 수입지출장부'!$A$5:$A$2013,"&lt;"&amp;DATE(2026,N$5+1,1),'3. 5기 수입지출장부'!$E$5:$E$2013,"&gt;0")&gt;0,"■","")</f>
        <v/>
      </c>
      <c r="O31" s="21" t="str">
        <f>IF(COUNTIFS('3. 5기 수입지출장부'!$C$5:$C$2013,$C30,'3. 5기 수입지출장부'!$A$5:$A$2013,"&gt;="&amp;DATE(2026,O$5,1),'3. 5기 수입지출장부'!$A$5:$A$2013,"&lt;"&amp;DATE(2026,O$5+1,1),'3. 5기 수입지출장부'!$E$5:$E$2013,"&gt;0")&gt;0,"■","")</f>
        <v/>
      </c>
      <c r="P31" s="14" t="str">
        <f>IF(COUNTIFS('3. 5기 수입지출장부'!$C$5:$C$2013,$C30,'3. 5기 수입지출장부'!$A$5:$A$2013,"&gt;="&amp;DATE(2026,P$5,1),'3. 5기 수입지출장부'!$A$5:$A$2013,"&lt;"&amp;DATE(2026,P$5+1,1),'3. 5기 수입지출장부'!$E$5:$E$2013,"&gt;0")&gt;0,"■","")</f>
        <v/>
      </c>
      <c r="Q31" s="182">
        <f>'3. 5기 수입지출장부'!E215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수입지출장부'!$C$5:$C$2013,$C32,'3. 5기 수입지출장부'!$A$5:$A$2013,"&gt;="&amp;DATE(2026,E$5,1),'3. 5기 수입지출장부'!$A$5:$A$2013,"&lt;"&amp;DATE(2026,E$5+1,1),'3. 5기 수입지출장부'!$E$5:$E$2013,"&gt;0")&gt;0,"■","")</f>
        <v/>
      </c>
      <c r="F33" s="14" t="str">
        <f>IF(COUNTIFS('3. 5기 수입지출장부'!$C$5:$C$2013,$C32,'3. 5기 수입지출장부'!$A$5:$A$2013,"&gt;="&amp;DATE(2026,F$5,1),'3. 5기 수입지출장부'!$A$5:$A$2013,"&lt;"&amp;DATE(2026,F$5+1,1),'3. 5기 수입지출장부'!$E$5:$E$2013,"&gt;0")&gt;0,"■","")</f>
        <v/>
      </c>
      <c r="G33" s="14" t="str">
        <f>IF(COUNTIFS('3. 5기 수입지출장부'!$C$5:$C$2013,$C32,'3. 5기 수입지출장부'!$A$5:$A$2013,"&gt;="&amp;DATE(2026,G$5,1),'3. 5기 수입지출장부'!$A$5:$A$2013,"&lt;"&amp;DATE(2026,G$5+1,1),'3. 5기 수입지출장부'!$E$5:$E$2013,"&gt;0")&gt;0,"■","")</f>
        <v/>
      </c>
      <c r="H33" s="14" t="str">
        <f>IF(COUNTIFS('3. 5기 수입지출장부'!$C$5:$C$2013,$C32,'3. 5기 수입지출장부'!$A$5:$A$2013,"&gt;="&amp;DATE(2026,H$5,1),'3. 5기 수입지출장부'!$A$5:$A$2013,"&lt;"&amp;DATE(2026,H$5+1,1),'3. 5기 수입지출장부'!$E$5:$E$2013,"&gt;0")&gt;0,"■","")</f>
        <v/>
      </c>
      <c r="I33" s="14" t="str">
        <f>IF(COUNTIFS('3. 5기 수입지출장부'!$C$5:$C$2013,$C32,'3. 5기 수입지출장부'!$A$5:$A$2013,"&gt;="&amp;DATE(2026,I$5,1),'3. 5기 수입지출장부'!$A$5:$A$2013,"&lt;"&amp;DATE(2026,I$5+1,1),'3. 5기 수입지출장부'!$E$5:$E$2013,"&gt;0")&gt;0,"■","")</f>
        <v/>
      </c>
      <c r="J33" s="14" t="str">
        <f>IF(COUNTIFS('3. 5기 수입지출장부'!$C$5:$C$2013,$C32,'3. 5기 수입지출장부'!$A$5:$A$2013,"&gt;="&amp;DATE(2026,J$5,1),'3. 5기 수입지출장부'!$A$5:$A$2013,"&lt;"&amp;DATE(2026,J$5+1,1),'3. 5기 수입지출장부'!$E$5:$E$2013,"&gt;0")&gt;0,"■","")</f>
        <v/>
      </c>
      <c r="K33" s="14" t="str">
        <f>IF(COUNTIFS('3. 5기 수입지출장부'!$C$5:$C$2013,$C32,'3. 5기 수입지출장부'!$A$5:$A$2013,"&gt;="&amp;DATE(2026,K$5,1),'3. 5기 수입지출장부'!$A$5:$A$2013,"&lt;"&amp;DATE(2026,K$5+1,1),'3. 5기 수입지출장부'!$E$5:$E$2013,"&gt;0")&gt;0,"■","")</f>
        <v/>
      </c>
      <c r="L33" s="14" t="str">
        <f>IF(COUNTIFS('3. 5기 수입지출장부'!$C$5:$C$2013,$C32,'3. 5기 수입지출장부'!$A$5:$A$2013,"&gt;="&amp;DATE(2026,L$5,1),'3. 5기 수입지출장부'!$A$5:$A$2013,"&lt;"&amp;DATE(2026,L$5+1,1),'3. 5기 수입지출장부'!$E$5:$E$2013,"&gt;0")&gt;0,"■","")</f>
        <v/>
      </c>
      <c r="M33" s="14" t="str">
        <f>IF(COUNTIFS('3. 5기 수입지출장부'!$C$5:$C$2013,$C32,'3. 5기 수입지출장부'!$A$5:$A$2013,"&gt;="&amp;DATE(2026,M$5,1),'3. 5기 수입지출장부'!$A$5:$A$2013,"&lt;"&amp;DATE(2026,M$5+1,1),'3. 5기 수입지출장부'!$E$5:$E$2013,"&gt;0")&gt;0,"■","")</f>
        <v/>
      </c>
      <c r="N33" s="11" t="str">
        <f>IF(COUNTIFS('3. 5기 수입지출장부'!$C$5:$C$2013,$C32,'3. 5기 수입지출장부'!$A$5:$A$2013,"&gt;="&amp;DATE(2026,N$5,1),'3. 5기 수입지출장부'!$A$5:$A$2013,"&lt;"&amp;DATE(2026,N$5+1,1),'3. 5기 수입지출장부'!$E$5:$E$2013,"&gt;0")&gt;0,"■","")</f>
        <v/>
      </c>
      <c r="O33" s="21" t="str">
        <f>IF(COUNTIFS('3. 5기 수입지출장부'!$C$5:$C$2013,$C32,'3. 5기 수입지출장부'!$A$5:$A$2013,"&gt;="&amp;DATE(2026,O$5,1),'3. 5기 수입지출장부'!$A$5:$A$2013,"&lt;"&amp;DATE(2026,O$5+1,1),'3. 5기 수입지출장부'!$E$5:$E$2013,"&gt;0")&gt;0,"■","")</f>
        <v/>
      </c>
      <c r="P33" s="14" t="str">
        <f>IF(COUNTIFS('3. 5기 수입지출장부'!$C$5:$C$2013,$C32,'3. 5기 수입지출장부'!$A$5:$A$2013,"&gt;="&amp;DATE(2026,P$5,1),'3. 5기 수입지출장부'!$A$5:$A$2013,"&lt;"&amp;DATE(2026,P$5+1,1),'3. 5기 수입지출장부'!$E$5:$E$2013,"&gt;0")&gt;0,"■","")</f>
        <v/>
      </c>
      <c r="Q33" s="182">
        <f>'3. 5기 수입지출장부'!E216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수입지출장부'!$C$5:$C$2013,$C34,'3. 5기 수입지출장부'!$A$5:$A$2013,"&gt;="&amp;DATE(2026,E$5,1),'3. 5기 수입지출장부'!$A$5:$A$2013,"&lt;"&amp;DATE(2026,E$5+1,1),'3. 5기 수입지출장부'!$E$5:$E$2013,"&gt;0")&gt;0,"■","")</f>
        <v/>
      </c>
      <c r="F35" s="14" t="str">
        <f>IF(COUNTIFS('3. 5기 수입지출장부'!$C$5:$C$2013,$C34,'3. 5기 수입지출장부'!$A$5:$A$2013,"&gt;="&amp;DATE(2026,F$5,1),'3. 5기 수입지출장부'!$A$5:$A$2013,"&lt;"&amp;DATE(2026,F$5+1,1),'3. 5기 수입지출장부'!$E$5:$E$2013,"&gt;0")&gt;0,"■","")</f>
        <v/>
      </c>
      <c r="G35" s="14" t="str">
        <f>IF(COUNTIFS('3. 5기 수입지출장부'!$C$5:$C$2013,$C34,'3. 5기 수입지출장부'!$A$5:$A$2013,"&gt;="&amp;DATE(2026,G$5,1),'3. 5기 수입지출장부'!$A$5:$A$2013,"&lt;"&amp;DATE(2026,G$5+1,1),'3. 5기 수입지출장부'!$E$5:$E$2013,"&gt;0")&gt;0,"■","")</f>
        <v/>
      </c>
      <c r="H35" s="14" t="str">
        <f>IF(COUNTIFS('3. 5기 수입지출장부'!$C$5:$C$2013,$C34,'3. 5기 수입지출장부'!$A$5:$A$2013,"&gt;="&amp;DATE(2026,H$5,1),'3. 5기 수입지출장부'!$A$5:$A$2013,"&lt;"&amp;DATE(2026,H$5+1,1),'3. 5기 수입지출장부'!$E$5:$E$2013,"&gt;0")&gt;0,"■","")</f>
        <v/>
      </c>
      <c r="I35" s="14" t="str">
        <f>IF(COUNTIFS('3. 5기 수입지출장부'!$C$5:$C$2013,$C34,'3. 5기 수입지출장부'!$A$5:$A$2013,"&gt;="&amp;DATE(2026,I$5,1),'3. 5기 수입지출장부'!$A$5:$A$2013,"&lt;"&amp;DATE(2026,I$5+1,1),'3. 5기 수입지출장부'!$E$5:$E$2013,"&gt;0")&gt;0,"■","")</f>
        <v/>
      </c>
      <c r="J35" s="14" t="str">
        <f>IF(COUNTIFS('3. 5기 수입지출장부'!$C$5:$C$2013,$C34,'3. 5기 수입지출장부'!$A$5:$A$2013,"&gt;="&amp;DATE(2026,J$5,1),'3. 5기 수입지출장부'!$A$5:$A$2013,"&lt;"&amp;DATE(2026,J$5+1,1),'3. 5기 수입지출장부'!$E$5:$E$2013,"&gt;0")&gt;0,"■","")</f>
        <v/>
      </c>
      <c r="K35" s="14" t="str">
        <f>IF(COUNTIFS('3. 5기 수입지출장부'!$C$5:$C$2013,$C34,'3. 5기 수입지출장부'!$A$5:$A$2013,"&gt;="&amp;DATE(2026,K$5,1),'3. 5기 수입지출장부'!$A$5:$A$2013,"&lt;"&amp;DATE(2026,K$5+1,1),'3. 5기 수입지출장부'!$E$5:$E$2013,"&gt;0")&gt;0,"■","")</f>
        <v/>
      </c>
      <c r="L35" s="14" t="str">
        <f>IF(COUNTIFS('3. 5기 수입지출장부'!$C$5:$C$2013,$C34,'3. 5기 수입지출장부'!$A$5:$A$2013,"&gt;="&amp;DATE(2026,L$5,1),'3. 5기 수입지출장부'!$A$5:$A$2013,"&lt;"&amp;DATE(2026,L$5+1,1),'3. 5기 수입지출장부'!$E$5:$E$2013,"&gt;0")&gt;0,"■","")</f>
        <v/>
      </c>
      <c r="M35" s="9" t="str">
        <f>IF(COUNTIFS('3. 5기 수입지출장부'!$C$5:$C$2013,$C34,'3. 5기 수입지출장부'!$A$5:$A$2013,"&gt;="&amp;DATE(2026,M$5,1),'3. 5기 수입지출장부'!$A$5:$A$2013,"&lt;"&amp;DATE(2026,M$5+1,1),'3. 5기 수입지출장부'!$E$5:$E$2013,"&gt;0")&gt;0,"■","")</f>
        <v/>
      </c>
      <c r="N35" s="9" t="str">
        <f>IF(COUNTIFS('3. 5기 수입지출장부'!$C$5:$C$2013,$C34,'3. 5기 수입지출장부'!$A$5:$A$2013,"&gt;="&amp;DATE(2026,N$5,1),'3. 5기 수입지출장부'!$A$5:$A$2013,"&lt;"&amp;DATE(2026,N$5+1,1),'3. 5기 수입지출장부'!$E$5:$E$2013,"&gt;0")&gt;0,"■","")</f>
        <v/>
      </c>
      <c r="O35" s="14" t="str">
        <f>IF(COUNTIFS('3. 5기 수입지출장부'!$C$5:$C$2013,$C34,'3. 5기 수입지출장부'!$A$5:$A$2013,"&gt;="&amp;DATE(2026,O$5,1),'3. 5기 수입지출장부'!$A$5:$A$2013,"&lt;"&amp;DATE(2026,O$5+1,1),'3. 5기 수입지출장부'!$E$5:$E$2013,"&gt;0")&gt;0,"■","")</f>
        <v/>
      </c>
      <c r="P35" s="14" t="str">
        <f>IF(COUNTIFS('3. 5기 수입지출장부'!$C$5:$C$2013,$C34,'3. 5기 수입지출장부'!$A$5:$A$2013,"&gt;="&amp;DATE(2026,P$5,1),'3. 5기 수입지출장부'!$A$5:$A$2013,"&lt;"&amp;DATE(2026,P$5+1,1),'3. 5기 수입지출장부'!$E$5:$E$2013,"&gt;0")&gt;0,"■","")</f>
        <v/>
      </c>
      <c r="Q35" s="182">
        <f>'3. 5기 수입지출장부'!E217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수입지출장부'!$C$5:$C$2013,$C36,'3. 5기 수입지출장부'!$A$5:$A$2013,"&gt;="&amp;DATE(2026,E$5,1),'3. 5기 수입지출장부'!$A$5:$A$2013,"&lt;"&amp;DATE(2026,E$5+1,1),'3. 5기 수입지출장부'!$E$5:$E$2013,"&gt;0")&gt;0,"■","")</f>
        <v/>
      </c>
      <c r="F37" s="14" t="str">
        <f>IF(COUNTIFS('3. 5기 수입지출장부'!$C$5:$C$2013,$C36,'3. 5기 수입지출장부'!$A$5:$A$2013,"&gt;="&amp;DATE(2026,F$5,1),'3. 5기 수입지출장부'!$A$5:$A$2013,"&lt;"&amp;DATE(2026,F$5+1,1),'3. 5기 수입지출장부'!$E$5:$E$2013,"&gt;0")&gt;0,"■","")</f>
        <v/>
      </c>
      <c r="G37" s="14" t="str">
        <f>IF(COUNTIFS('3. 5기 수입지출장부'!$C$5:$C$2013,$C36,'3. 5기 수입지출장부'!$A$5:$A$2013,"&gt;="&amp;DATE(2026,G$5,1),'3. 5기 수입지출장부'!$A$5:$A$2013,"&lt;"&amp;DATE(2026,G$5+1,1),'3. 5기 수입지출장부'!$E$5:$E$2013,"&gt;0")&gt;0,"■","")</f>
        <v/>
      </c>
      <c r="H37" s="5" t="str">
        <f>IF(COUNTIFS('3. 5기 수입지출장부'!$C$5:$C$2013,$C36,'3. 5기 수입지출장부'!$A$5:$A$2013,"&gt;="&amp;DATE(2026,H$5,1),'3. 5기 수입지출장부'!$A$5:$A$2013,"&lt;"&amp;DATE(2026,H$5+1,1),'3. 5기 수입지출장부'!$E$5:$E$2013,"&gt;0")&gt;0,"■","")</f>
        <v/>
      </c>
      <c r="I37" s="5" t="str">
        <f>IF(COUNTIFS('3. 5기 수입지출장부'!$C$5:$C$2013,$C36,'3. 5기 수입지출장부'!$A$5:$A$2013,"&gt;="&amp;DATE(2026,I$5,1),'3. 5기 수입지출장부'!$A$5:$A$2013,"&lt;"&amp;DATE(2026,I$5+1,1),'3. 5기 수입지출장부'!$E$5:$E$2013,"&gt;0")&gt;0,"■","")</f>
        <v/>
      </c>
      <c r="J37" s="5" t="str">
        <f>IF(COUNTIFS('3. 5기 수입지출장부'!$C$5:$C$2013,$C36,'3. 5기 수입지출장부'!$A$5:$A$2013,"&gt;="&amp;DATE(2026,J$5,1),'3. 5기 수입지출장부'!$A$5:$A$2013,"&lt;"&amp;DATE(2026,J$5+1,1),'3. 5기 수입지출장부'!$E$5:$E$2013,"&gt;0")&gt;0,"■","")</f>
        <v/>
      </c>
      <c r="K37" s="5" t="str">
        <f>IF(COUNTIFS('3. 5기 수입지출장부'!$C$5:$C$2013,$C36,'3. 5기 수입지출장부'!$A$5:$A$2013,"&gt;="&amp;DATE(2026,K$5,1),'3. 5기 수입지출장부'!$A$5:$A$2013,"&lt;"&amp;DATE(2026,K$5+1,1),'3. 5기 수입지출장부'!$E$5:$E$2013,"&gt;0")&gt;0,"■","")</f>
        <v/>
      </c>
      <c r="L37" s="5" t="str">
        <f>IF(COUNTIFS('3. 5기 수입지출장부'!$C$5:$C$2013,$C36,'3. 5기 수입지출장부'!$A$5:$A$2013,"&gt;="&amp;DATE(2026,L$5,1),'3. 5기 수입지출장부'!$A$5:$A$2013,"&lt;"&amp;DATE(2026,L$5+1,1),'3. 5기 수입지출장부'!$E$5:$E$2013,"&gt;0")&gt;0,"■","")</f>
        <v/>
      </c>
      <c r="M37" s="5" t="str">
        <f>IF(COUNTIFS('3. 5기 수입지출장부'!$C$5:$C$2013,$C36,'3. 5기 수입지출장부'!$A$5:$A$2013,"&gt;="&amp;DATE(2026,M$5,1),'3. 5기 수입지출장부'!$A$5:$A$2013,"&lt;"&amp;DATE(2026,M$5+1,1),'3. 5기 수입지출장부'!$E$5:$E$2013,"&gt;0")&gt;0,"■","")</f>
        <v/>
      </c>
      <c r="N37" s="5" t="str">
        <f>IF(COUNTIFS('3. 5기 수입지출장부'!$C$5:$C$2013,$C36,'3. 5기 수입지출장부'!$A$5:$A$2013,"&gt;="&amp;DATE(2026,N$5,1),'3. 5기 수입지출장부'!$A$5:$A$2013,"&lt;"&amp;DATE(2026,N$5+1,1),'3. 5기 수입지출장부'!$E$5:$E$2013,"&gt;0")&gt;0,"■","")</f>
        <v/>
      </c>
      <c r="O37" s="5" t="str">
        <f>IF(COUNTIFS('3. 5기 수입지출장부'!$C$5:$C$2013,$C36,'3. 5기 수입지출장부'!$A$5:$A$2013,"&gt;="&amp;DATE(2026,O$5,1),'3. 5기 수입지출장부'!$A$5:$A$2013,"&lt;"&amp;DATE(2026,O$5+1,1),'3. 5기 수입지출장부'!$E$5:$E$2013,"&gt;0")&gt;0,"■","")</f>
        <v/>
      </c>
      <c r="P37" s="14" t="str">
        <f>IF(COUNTIFS('3. 5기 수입지출장부'!$C$5:$C$2013,$C36,'3. 5기 수입지출장부'!$A$5:$A$2013,"&gt;="&amp;DATE(2026,P$5,1),'3. 5기 수입지출장부'!$A$5:$A$2013,"&lt;"&amp;DATE(2026,P$5+1,1),'3. 5기 수입지출장부'!$E$5:$E$2013,"&gt;0")&gt;0,"■","")</f>
        <v/>
      </c>
      <c r="Q37" s="214">
        <f>'3. 5기 수입지출장부'!E218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수입지출장부'!$C$5:$C$2013,$C38,'3. 5기 수입지출장부'!$A$5:$A$2013,"&gt;="&amp;DATE(2026,E$5,1),'3. 5기 수입지출장부'!$A$5:$A$2013,"&lt;"&amp;DATE(2026,E$5+1,1),'3. 5기 수입지출장부'!$E$5:$E$2013,"&gt;0")&gt;0,"■","")</f>
        <v/>
      </c>
      <c r="F39" s="14" t="str">
        <f>IF(COUNTIFS('3. 5기 수입지출장부'!$C$5:$C$2013,$C38,'3. 5기 수입지출장부'!$A$5:$A$2013,"&gt;="&amp;DATE(2026,F$5,1),'3. 5기 수입지출장부'!$A$5:$A$2013,"&lt;"&amp;DATE(2026,F$5+1,1),'3. 5기 수입지출장부'!$E$5:$E$2013,"&gt;0")&gt;0,"■","")</f>
        <v/>
      </c>
      <c r="G39" s="14" t="str">
        <f>IF(COUNTIFS('3. 5기 수입지출장부'!$C$5:$C$2013,$C38,'3. 5기 수입지출장부'!$A$5:$A$2013,"&gt;="&amp;DATE(2026,G$5,1),'3. 5기 수입지출장부'!$A$5:$A$2013,"&lt;"&amp;DATE(2026,G$5+1,1),'3. 5기 수입지출장부'!$E$5:$E$2013,"&gt;0")&gt;0,"■","")</f>
        <v/>
      </c>
      <c r="H39" s="14" t="str">
        <f>IF(COUNTIFS('3. 5기 수입지출장부'!$C$5:$C$2013,$C38,'3. 5기 수입지출장부'!$A$5:$A$2013,"&gt;="&amp;DATE(2026,H$5,1),'3. 5기 수입지출장부'!$A$5:$A$2013,"&lt;"&amp;DATE(2026,H$5+1,1),'3. 5기 수입지출장부'!$E$5:$E$2013,"&gt;0")&gt;0,"■","")</f>
        <v/>
      </c>
      <c r="I39" s="14" t="str">
        <f>IF(COUNTIFS('3. 5기 수입지출장부'!$C$5:$C$2013,$C38,'3. 5기 수입지출장부'!$A$5:$A$2013,"&gt;="&amp;DATE(2026,I$5,1),'3. 5기 수입지출장부'!$A$5:$A$2013,"&lt;"&amp;DATE(2026,I$5+1,1),'3. 5기 수입지출장부'!$E$5:$E$2013,"&gt;0")&gt;0,"■","")</f>
        <v/>
      </c>
      <c r="J39" s="14" t="str">
        <f>IF(COUNTIFS('3. 5기 수입지출장부'!$C$5:$C$2013,$C38,'3. 5기 수입지출장부'!$A$5:$A$2013,"&gt;="&amp;DATE(2026,J$5,1),'3. 5기 수입지출장부'!$A$5:$A$2013,"&lt;"&amp;DATE(2026,J$5+1,1),'3. 5기 수입지출장부'!$E$5:$E$2013,"&gt;0")&gt;0,"■","")</f>
        <v/>
      </c>
      <c r="K39" s="14" t="str">
        <f>IF(COUNTIFS('3. 5기 수입지출장부'!$C$5:$C$2013,$C38,'3. 5기 수입지출장부'!$A$5:$A$2013,"&gt;="&amp;DATE(2026,K$5,1),'3. 5기 수입지출장부'!$A$5:$A$2013,"&lt;"&amp;DATE(2026,K$5+1,1),'3. 5기 수입지출장부'!$E$5:$E$2013,"&gt;0")&gt;0,"■","")</f>
        <v/>
      </c>
      <c r="L39" s="14" t="str">
        <f>IF(COUNTIFS('3. 5기 수입지출장부'!$C$5:$C$2013,$C38,'3. 5기 수입지출장부'!$A$5:$A$2013,"&gt;="&amp;DATE(2026,L$5,1),'3. 5기 수입지출장부'!$A$5:$A$2013,"&lt;"&amp;DATE(2026,L$5+1,1),'3. 5기 수입지출장부'!$E$5:$E$2013,"&gt;0")&gt;0,"■","")</f>
        <v/>
      </c>
      <c r="M39" s="14" t="str">
        <f>IF(COUNTIFS('3. 5기 수입지출장부'!$C$5:$C$2013,$C38,'3. 5기 수입지출장부'!$A$5:$A$2013,"&gt;="&amp;DATE(2026,M$5,1),'3. 5기 수입지출장부'!$A$5:$A$2013,"&lt;"&amp;DATE(2026,M$5+1,1),'3. 5기 수입지출장부'!$E$5:$E$2013,"&gt;0")&gt;0,"■","")</f>
        <v/>
      </c>
      <c r="N39" s="14" t="str">
        <f>IF(COUNTIFS('3. 5기 수입지출장부'!$C$5:$C$2013,$C38,'3. 5기 수입지출장부'!$A$5:$A$2013,"&gt;="&amp;DATE(2026,N$5,1),'3. 5기 수입지출장부'!$A$5:$A$2013,"&lt;"&amp;DATE(2026,N$5+1,1),'3. 5기 수입지출장부'!$E$5:$E$2013,"&gt;0")&gt;0,"■","")</f>
        <v/>
      </c>
      <c r="O39" s="14" t="str">
        <f>IF(COUNTIFS('3. 5기 수입지출장부'!$C$5:$C$2013,$C38,'3. 5기 수입지출장부'!$A$5:$A$2013,"&gt;="&amp;DATE(2026,O$5,1),'3. 5기 수입지출장부'!$A$5:$A$2013,"&lt;"&amp;DATE(2026,O$5+1,1),'3. 5기 수입지출장부'!$E$5:$E$2013,"&gt;0")&gt;0,"■","")</f>
        <v/>
      </c>
      <c r="P39" s="14" t="str">
        <f>IF(COUNTIFS('3. 5기 수입지출장부'!$C$5:$C$2013,$C38,'3. 5기 수입지출장부'!$A$5:$A$2013,"&gt;="&amp;DATE(2026,P$5,1),'3. 5기 수입지출장부'!$A$5:$A$2013,"&lt;"&amp;DATE(2026,P$5+1,1),'3. 5기 수입지출장부'!$E$5:$E$2013,"&gt;0")&gt;0,"■","")</f>
        <v/>
      </c>
      <c r="Q39" s="214">
        <f>'3. 5기 수입지출장부'!E219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수입지출장부'!$C$5:$C$2013,SUBSTITUTE($C40,", ",","),'3. 5기 수입지출장부'!$A$5:$A$2013,"&gt;="&amp;DATE(2026,E$5,1),'3. 5기 수입지출장부'!$A$5:$A$2013,"&lt;"&amp;DATE(2026,E$5+1,1),'3. 5기 수입지출장부'!$E$5:$E$2013,"&gt;0")&gt;0,"■","")</f>
        <v/>
      </c>
      <c r="F41" s="14" t="str">
        <f>IF(COUNTIFS('3. 5기 수입지출장부'!$C$5:$C$2013,SUBSTITUTE($C40,", ",","),'3. 5기 수입지출장부'!$A$5:$A$2013,"&gt;="&amp;DATE(2026,F$5,1),'3. 5기 수입지출장부'!$A$5:$A$2013,"&lt;"&amp;DATE(2026,F$5+1,1),'3. 5기 수입지출장부'!$E$5:$E$2013,"&gt;0")&gt;0,"■","")</f>
        <v/>
      </c>
      <c r="G41" s="14" t="str">
        <f>IF(COUNTIFS('3. 5기 수입지출장부'!$C$5:$C$2013,SUBSTITUTE($C40,", ",","),'3. 5기 수입지출장부'!$A$5:$A$2013,"&gt;="&amp;DATE(2026,G$5,1),'3. 5기 수입지출장부'!$A$5:$A$2013,"&lt;"&amp;DATE(2026,G$5+1,1),'3. 5기 수입지출장부'!$E$5:$E$2013,"&gt;0")&gt;0,"■","")</f>
        <v/>
      </c>
      <c r="H41" s="14" t="str">
        <f>IF(COUNTIFS('3. 5기 수입지출장부'!$C$5:$C$2013,SUBSTITUTE($C40,", ",","),'3. 5기 수입지출장부'!$A$5:$A$2013,"&gt;="&amp;DATE(2026,H$5,1),'3. 5기 수입지출장부'!$A$5:$A$2013,"&lt;"&amp;DATE(2026,H$5+1,1),'3. 5기 수입지출장부'!$E$5:$E$2013,"&gt;0")&gt;0,"■","")</f>
        <v/>
      </c>
      <c r="I41" s="14" t="str">
        <f>IF(COUNTIFS('3. 5기 수입지출장부'!$C$5:$C$2013,SUBSTITUTE($C40,", ",","),'3. 5기 수입지출장부'!$A$5:$A$2013,"&gt;="&amp;DATE(2026,I$5,1),'3. 5기 수입지출장부'!$A$5:$A$2013,"&lt;"&amp;DATE(2026,I$5+1,1),'3. 5기 수입지출장부'!$E$5:$E$2013,"&gt;0")&gt;0,"■","")</f>
        <v/>
      </c>
      <c r="J41" s="14" t="str">
        <f>IF(COUNTIFS('3. 5기 수입지출장부'!$C$5:$C$2013,SUBSTITUTE($C40,", ",","),'3. 5기 수입지출장부'!$A$5:$A$2013,"&gt;="&amp;DATE(2026,J$5,1),'3. 5기 수입지출장부'!$A$5:$A$2013,"&lt;"&amp;DATE(2026,J$5+1,1),'3. 5기 수입지출장부'!$E$5:$E$2013,"&gt;0")&gt;0,"■","")</f>
        <v/>
      </c>
      <c r="K41" s="14" t="str">
        <f>IF(COUNTIFS('3. 5기 수입지출장부'!$C$5:$C$2013,SUBSTITUTE($C40,", ",","),'3. 5기 수입지출장부'!$A$5:$A$2013,"&gt;="&amp;DATE(2026,K$5,1),'3. 5기 수입지출장부'!$A$5:$A$2013,"&lt;"&amp;DATE(2026,K$5+1,1),'3. 5기 수입지출장부'!$E$5:$E$2013,"&gt;0")&gt;0,"■","")</f>
        <v/>
      </c>
      <c r="L41" s="14" t="str">
        <f>IF(COUNTIFS('3. 5기 수입지출장부'!$C$5:$C$2013,SUBSTITUTE($C40,", ",","),'3. 5기 수입지출장부'!$A$5:$A$2013,"&gt;="&amp;DATE(2026,L$5,1),'3. 5기 수입지출장부'!$A$5:$A$2013,"&lt;"&amp;DATE(2026,L$5+1,1),'3. 5기 수입지출장부'!$E$5:$E$2013,"&gt;0")&gt;0,"■","")</f>
        <v/>
      </c>
      <c r="M41" s="14" t="str">
        <f>IF(COUNTIFS('3. 5기 수입지출장부'!$C$5:$C$2013,SUBSTITUTE($C40,", ",","),'3. 5기 수입지출장부'!$A$5:$A$2013,"&gt;="&amp;DATE(2026,M$5,1),'3. 5기 수입지출장부'!$A$5:$A$2013,"&lt;"&amp;DATE(2026,M$5+1,1),'3. 5기 수입지출장부'!$E$5:$E$2013,"&gt;0")&gt;0,"■","")</f>
        <v/>
      </c>
      <c r="N41" s="14" t="str">
        <f>IF(COUNTIFS('3. 5기 수입지출장부'!$C$5:$C$2013,SUBSTITUTE($C40,", ",","),'3. 5기 수입지출장부'!$A$5:$A$2013,"&gt;="&amp;DATE(2026,N$5,1),'3. 5기 수입지출장부'!$A$5:$A$2013,"&lt;"&amp;DATE(2026,N$5+1,1),'3. 5기 수입지출장부'!$E$5:$E$2013,"&gt;0")&gt;0,"■","")</f>
        <v/>
      </c>
      <c r="O41" s="14" t="str">
        <f>IF(COUNTIFS('3. 5기 수입지출장부'!$C$5:$C$2013,SUBSTITUTE($C40,", ",","),'3. 5기 수입지출장부'!$A$5:$A$2013,"&gt;="&amp;DATE(2026,O$5,1),'3. 5기 수입지출장부'!$A$5:$A$2013,"&lt;"&amp;DATE(2026,O$5+1,1),'3. 5기 수입지출장부'!$E$5:$E$2013,"&gt;0")&gt;0,"■","")</f>
        <v/>
      </c>
      <c r="P41" s="14" t="str">
        <f>IF(COUNTIFS('3. 5기 수입지출장부'!$C$5:$C$2013,SUBSTITUTE($C40,", ",","),'3. 5기 수입지출장부'!$A$5:$A$2013,"&gt;="&amp;DATE(2026,P$5,1),'3. 5기 수입지출장부'!$A$5:$A$2013,"&lt;"&amp;DATE(2026,P$5+1,1),'3. 5기 수입지출장부'!$E$5:$E$2013,"&gt;0")&gt;0,"■","")</f>
        <v/>
      </c>
      <c r="Q41" s="214">
        <f>'3. 5기 수입지출장부'!E220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수입지출장부'!$B$5:$B$2013,$C42,'3. 5기 수입지출장부'!$A$5:$A$2013,"&gt;="&amp;DATE(2026,E$5,1),'3. 5기 수입지출장부'!$A$5:$A$2013,"&lt;"&amp;DATE(2026,E$5+1,1),'3. 5기 수입지출장부'!$E$5:$E$2013,"&gt;0")&gt;0,"■","")</f>
        <v/>
      </c>
      <c r="F43" s="14" t="str">
        <f>IF(COUNTIFS('3. 5기 수입지출장부'!$B$5:$B$2013,$C42,'3. 5기 수입지출장부'!$A$5:$A$2013,"&gt;="&amp;DATE(2026,F$5,1),'3. 5기 수입지출장부'!$A$5:$A$2013,"&lt;"&amp;DATE(2026,F$5+1,1),'3. 5기 수입지출장부'!$E$5:$E$2013,"&gt;0")&gt;0,"■","")</f>
        <v>■</v>
      </c>
      <c r="G43" s="14" t="str">
        <f>IF(COUNTIFS('3. 5기 수입지출장부'!$B$5:$B$2013,$C42,'3. 5기 수입지출장부'!$A$5:$A$2013,"&gt;="&amp;DATE(2026,G$5,1),'3. 5기 수입지출장부'!$A$5:$A$2013,"&lt;"&amp;DATE(2026,G$5+1,1),'3. 5기 수입지출장부'!$E$5:$E$2013,"&gt;0")&gt;0,"■","")</f>
        <v/>
      </c>
      <c r="H43" s="14" t="str">
        <f>IF(COUNTIFS('3. 5기 수입지출장부'!$B$5:$B$2013,$C42,'3. 5기 수입지출장부'!$A$5:$A$2013,"&gt;="&amp;DATE(2026,H$5,1),'3. 5기 수입지출장부'!$A$5:$A$2013,"&lt;"&amp;DATE(2026,H$5+1,1),'3. 5기 수입지출장부'!$E$5:$E$2013,"&gt;0")&gt;0,"■","")</f>
        <v/>
      </c>
      <c r="I43" s="14" t="str">
        <f>IF(COUNTIFS('3. 5기 수입지출장부'!$B$5:$B$2013,$C42,'3. 5기 수입지출장부'!$A$5:$A$2013,"&gt;="&amp;DATE(2026,I$5,1),'3. 5기 수입지출장부'!$A$5:$A$2013,"&lt;"&amp;DATE(2026,I$5+1,1),'3. 5기 수입지출장부'!$E$5:$E$2013,"&gt;0")&gt;0,"■","")</f>
        <v/>
      </c>
      <c r="J43" s="14" t="str">
        <f>IF(COUNTIFS('3. 5기 수입지출장부'!$B$5:$B$2013,$C42,'3. 5기 수입지출장부'!$A$5:$A$2013,"&gt;="&amp;DATE(2026,J$5,1),'3. 5기 수입지출장부'!$A$5:$A$2013,"&lt;"&amp;DATE(2026,J$5+1,1),'3. 5기 수입지출장부'!$E$5:$E$2013,"&gt;0")&gt;0,"■","")</f>
        <v/>
      </c>
      <c r="K43" s="14" t="str">
        <f>IF(COUNTIFS('3. 5기 수입지출장부'!$B$5:$B$2013,$C42,'3. 5기 수입지출장부'!$A$5:$A$2013,"&gt;="&amp;DATE(2026,K$5,1),'3. 5기 수입지출장부'!$A$5:$A$2013,"&lt;"&amp;DATE(2026,K$5+1,1),'3. 5기 수입지출장부'!$E$5:$E$2013,"&gt;0")&gt;0,"■","")</f>
        <v/>
      </c>
      <c r="L43" s="14" t="str">
        <f>IF(COUNTIFS('3. 5기 수입지출장부'!$B$5:$B$2013,$C42,'3. 5기 수입지출장부'!$A$5:$A$2013,"&gt;="&amp;DATE(2026,L$5,1),'3. 5기 수입지출장부'!$A$5:$A$2013,"&lt;"&amp;DATE(2026,L$5+1,1),'3. 5기 수입지출장부'!$E$5:$E$2013,"&gt;0")&gt;0,"■","")</f>
        <v/>
      </c>
      <c r="M43" s="14" t="str">
        <f>IF(COUNTIFS('3. 5기 수입지출장부'!$B$5:$B$2013,$C42,'3. 5기 수입지출장부'!$A$5:$A$2013,"&gt;="&amp;DATE(2026,M$5,1),'3. 5기 수입지출장부'!$A$5:$A$2013,"&lt;"&amp;DATE(2026,M$5+1,1),'3. 5기 수입지출장부'!$E$5:$E$2013,"&gt;0")&gt;0,"■","")</f>
        <v/>
      </c>
      <c r="N43" s="14" t="str">
        <f>IF(COUNTIFS('3. 5기 수입지출장부'!$B$5:$B$2013,$C42,'3. 5기 수입지출장부'!$A$5:$A$2013,"&gt;="&amp;DATE(2026,N$5,1),'3. 5기 수입지출장부'!$A$5:$A$2013,"&lt;"&amp;DATE(2026,N$5+1,1),'3. 5기 수입지출장부'!$E$5:$E$2013,"&gt;0")&gt;0,"■","")</f>
        <v/>
      </c>
      <c r="O43" s="14" t="str">
        <f>IF(COUNTIFS('3. 5기 수입지출장부'!$B$5:$B$2013,$C42,'3. 5기 수입지출장부'!$A$5:$A$2013,"&gt;="&amp;DATE(2026,O$5,1),'3. 5기 수입지출장부'!$A$5:$A$2013,"&lt;"&amp;DATE(2026,O$5+1,1),'3. 5기 수입지출장부'!$E$5:$E$2013,"&gt;0")&gt;0,"■","")</f>
        <v/>
      </c>
      <c r="P43" s="14" t="str">
        <f>IF(COUNTIFS('3. 5기 수입지출장부'!$B$5:$B$2013,$C42,'3. 5기 수입지출장부'!$A$5:$A$2013,"&gt;="&amp;DATE(2026,P$5,1),'3. 5기 수입지출장부'!$A$5:$A$2013,"&lt;"&amp;DATE(2026,P$5+1,1),'3. 5기 수입지출장부'!$E$5:$E$2013,"&gt;0")&gt;0,"■","")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수입지출장부'!$C$5:$C$2013,$C44,'3. 5기 수입지출장부'!$A$5:$A$2013,"&gt;="&amp;DATE(2026,E$5,1),'3. 5기 수입지출장부'!$A$5:$A$2013,"&lt;"&amp;DATE(2026,E$5+1,1),'3. 5기 수입지출장부'!$E$5:$E$2013,"&gt;0")&gt;0,"■","")</f>
        <v/>
      </c>
      <c r="F45" s="9" t="str">
        <f>IF(COUNTIFS('3. 5기 수입지출장부'!$C$5:$C$2013,$C44,'3. 5기 수입지출장부'!$A$5:$A$2013,"&gt;="&amp;DATE(2026,F$5,1),'3. 5기 수입지출장부'!$A$5:$A$2013,"&lt;"&amp;DATE(2026,F$5+1,1),'3. 5기 수입지출장부'!$E$5:$E$2013,"&gt;0")&gt;0,"■","")</f>
        <v/>
      </c>
      <c r="G45" s="9" t="str">
        <f>IF(COUNTIFS('3. 5기 수입지출장부'!$C$5:$C$2013,$C44,'3. 5기 수입지출장부'!$A$5:$A$2013,"&gt;="&amp;DATE(2026,G$5,1),'3. 5기 수입지출장부'!$A$5:$A$2013,"&lt;"&amp;DATE(2026,G$5+1,1),'3. 5기 수입지출장부'!$E$5:$E$2013,"&gt;0")&gt;0,"■","")</f>
        <v/>
      </c>
      <c r="H45" s="9" t="str">
        <f>IF(COUNTIFS('3. 5기 수입지출장부'!$C$5:$C$2013,$C44,'3. 5기 수입지출장부'!$A$5:$A$2013,"&gt;="&amp;DATE(2026,H$5,1),'3. 5기 수입지출장부'!$A$5:$A$2013,"&lt;"&amp;DATE(2026,H$5+1,1),'3. 5기 수입지출장부'!$E$5:$E$2013,"&gt;0")&gt;0,"■","")</f>
        <v/>
      </c>
      <c r="I45" s="9" t="str">
        <f>IF(COUNTIFS('3. 5기 수입지출장부'!$C$5:$C$2013,$C44,'3. 5기 수입지출장부'!$A$5:$A$2013,"&gt;="&amp;DATE(2026,I$5,1),'3. 5기 수입지출장부'!$A$5:$A$2013,"&lt;"&amp;DATE(2026,I$5+1,1),'3. 5기 수입지출장부'!$E$5:$E$2013,"&gt;0")&gt;0,"■","")</f>
        <v/>
      </c>
      <c r="J45" s="9" t="str">
        <f>IF(COUNTIFS('3. 5기 수입지출장부'!$C$5:$C$2013,$C44,'3. 5기 수입지출장부'!$A$5:$A$2013,"&gt;="&amp;DATE(2026,J$5,1),'3. 5기 수입지출장부'!$A$5:$A$2013,"&lt;"&amp;DATE(2026,J$5+1,1),'3. 5기 수입지출장부'!$E$5:$E$2013,"&gt;0")&gt;0,"■","")</f>
        <v/>
      </c>
      <c r="K45" s="9" t="str">
        <f>IF(COUNTIFS('3. 5기 수입지출장부'!$C$5:$C$2013,$C44,'3. 5기 수입지출장부'!$A$5:$A$2013,"&gt;="&amp;DATE(2026,K$5,1),'3. 5기 수입지출장부'!$A$5:$A$2013,"&lt;"&amp;DATE(2026,K$5+1,1),'3. 5기 수입지출장부'!$E$5:$E$2013,"&gt;0")&gt;0,"■","")</f>
        <v/>
      </c>
      <c r="L45" s="9" t="str">
        <f>IF(COUNTIFS('3. 5기 수입지출장부'!$C$5:$C$2013,$C44,'3. 5기 수입지출장부'!$A$5:$A$2013,"&gt;="&amp;DATE(2026,L$5,1),'3. 5기 수입지출장부'!$A$5:$A$2013,"&lt;"&amp;DATE(2026,L$5+1,1),'3. 5기 수입지출장부'!$E$5:$E$2013,"&gt;0")&gt;0,"■","")</f>
        <v/>
      </c>
      <c r="M45" s="9" t="str">
        <f>IF(COUNTIFS('3. 5기 수입지출장부'!$C$5:$C$2013,$C44,'3. 5기 수입지출장부'!$A$5:$A$2013,"&gt;="&amp;DATE(2026,M$5,1),'3. 5기 수입지출장부'!$A$5:$A$2013,"&lt;"&amp;DATE(2026,M$5+1,1),'3. 5기 수입지출장부'!$E$5:$E$2013,"&gt;0")&gt;0,"■","")</f>
        <v/>
      </c>
      <c r="N45" s="9" t="str">
        <f>IF(COUNTIFS('3. 5기 수입지출장부'!$C$5:$C$2013,$C44,'3. 5기 수입지출장부'!$A$5:$A$2013,"&gt;="&amp;DATE(2026,N$5,1),'3. 5기 수입지출장부'!$A$5:$A$2013,"&lt;"&amp;DATE(2026,N$5+1,1),'3. 5기 수입지출장부'!$E$5:$E$2013,"&gt;0")&gt;0,"■","")</f>
        <v/>
      </c>
      <c r="O45" s="9" t="str">
        <f>IF(COUNTIFS('3. 5기 수입지출장부'!$C$5:$C$2013,$C44,'3. 5기 수입지출장부'!$A$5:$A$2013,"&gt;="&amp;DATE(2026,O$5,1),'3. 5기 수입지출장부'!$A$5:$A$2013,"&lt;"&amp;DATE(2026,O$5+1,1),'3. 5기 수입지출장부'!$E$5:$E$2013,"&gt;0")&gt;0,"■","")</f>
        <v/>
      </c>
      <c r="P45" s="9" t="str">
        <f>IF(COUNTIFS('3. 5기 수입지출장부'!$C$5:$C$2013,$C44,'3. 5기 수입지출장부'!$A$5:$A$2013,"&gt;="&amp;DATE(2026,P$5,1),'3. 5기 수입지출장부'!$A$5:$A$2013,"&lt;"&amp;DATE(2026,P$5+1,1),'3. 5기 수입지출장부'!$E$5:$E$2013,"&gt;0")&gt;0,"■","")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수입지출장부'!$C$5:$C$2013,$C46,'3. 5기 수입지출장부'!$A$5:$A$2013,"&gt;="&amp;DATE(2026,E$5,1),'3. 5기 수입지출장부'!$A$5:$A$2013,"&lt;"&amp;DATE(2026,E$5+1,1),'3. 5기 수입지출장부'!$E$5:$E$2013,"&gt;0")&gt;0,"■","")</f>
        <v/>
      </c>
      <c r="F47" s="5" t="str">
        <f>IF(COUNTIFS('3. 5기 수입지출장부'!$C$5:$C$2013,$C46,'3. 5기 수입지출장부'!$A$5:$A$2013,"&gt;="&amp;DATE(2026,F$5,1),'3. 5기 수입지출장부'!$A$5:$A$2013,"&lt;"&amp;DATE(2026,F$5+1,1),'3. 5기 수입지출장부'!$E$5:$E$2013,"&gt;0")&gt;0,"■","")</f>
        <v/>
      </c>
      <c r="G47" s="5" t="str">
        <f>IF(COUNTIFS('3. 5기 수입지출장부'!$C$5:$C$2013,$C46,'3. 5기 수입지출장부'!$A$5:$A$2013,"&gt;="&amp;DATE(2026,G$5,1),'3. 5기 수입지출장부'!$A$5:$A$2013,"&lt;"&amp;DATE(2026,G$5+1,1),'3. 5기 수입지출장부'!$E$5:$E$2013,"&gt;0")&gt;0,"■","")</f>
        <v/>
      </c>
      <c r="H47" s="14" t="str">
        <f>IF(COUNTIFS('3. 5기 수입지출장부'!$C$5:$C$2013,$C46,'3. 5기 수입지출장부'!$A$5:$A$2013,"&gt;="&amp;DATE(2026,H$5,1),'3. 5기 수입지출장부'!$A$5:$A$2013,"&lt;"&amp;DATE(2026,H$5+1,1),'3. 5기 수입지출장부'!$E$5:$E$2013,"&gt;0")&gt;0,"■","")</f>
        <v/>
      </c>
      <c r="I47" s="14" t="str">
        <f>IF(COUNTIFS('3. 5기 수입지출장부'!$C$5:$C$2013,$C46,'3. 5기 수입지출장부'!$A$5:$A$2013,"&gt;="&amp;DATE(2026,I$5,1),'3. 5기 수입지출장부'!$A$5:$A$2013,"&lt;"&amp;DATE(2026,I$5+1,1),'3. 5기 수입지출장부'!$E$5:$E$2013,"&gt;0")&gt;0,"■","")</f>
        <v/>
      </c>
      <c r="J47" s="5" t="str">
        <f>IF(COUNTIFS('3. 5기 수입지출장부'!$C$5:$C$2013,$C46,'3. 5기 수입지출장부'!$A$5:$A$2013,"&gt;="&amp;DATE(2026,J$5,1),'3. 5기 수입지출장부'!$A$5:$A$2013,"&lt;"&amp;DATE(2026,J$5+1,1),'3. 5기 수입지출장부'!$E$5:$E$2013,"&gt;0")&gt;0,"■","")</f>
        <v/>
      </c>
      <c r="K47" s="5" t="str">
        <f>IF(COUNTIFS('3. 5기 수입지출장부'!$C$5:$C$2013,$C46,'3. 5기 수입지출장부'!$A$5:$A$2013,"&gt;="&amp;DATE(2026,K$5,1),'3. 5기 수입지출장부'!$A$5:$A$2013,"&lt;"&amp;DATE(2026,K$5+1,1),'3. 5기 수입지출장부'!$E$5:$E$2013,"&gt;0")&gt;0,"■","")</f>
        <v/>
      </c>
      <c r="L47" s="5" t="str">
        <f>IF(COUNTIFS('3. 5기 수입지출장부'!$C$5:$C$2013,$C46,'3. 5기 수입지출장부'!$A$5:$A$2013,"&gt;="&amp;DATE(2026,L$5,1),'3. 5기 수입지출장부'!$A$5:$A$2013,"&lt;"&amp;DATE(2026,L$5+1,1),'3. 5기 수입지출장부'!$E$5:$E$2013,"&gt;0")&gt;0,"■","")</f>
        <v/>
      </c>
      <c r="M47" s="5" t="str">
        <f>IF(COUNTIFS('3. 5기 수입지출장부'!$C$5:$C$2013,$C46,'3. 5기 수입지출장부'!$A$5:$A$2013,"&gt;="&amp;DATE(2026,M$5,1),'3. 5기 수입지출장부'!$A$5:$A$2013,"&lt;"&amp;DATE(2026,M$5+1,1),'3. 5기 수입지출장부'!$E$5:$E$2013,"&gt;0")&gt;0,"■","")</f>
        <v/>
      </c>
      <c r="N47" s="5" t="str">
        <f>IF(COUNTIFS('3. 5기 수입지출장부'!$C$5:$C$2013,$C46,'3. 5기 수입지출장부'!$A$5:$A$2013,"&gt;="&amp;DATE(2026,N$5,1),'3. 5기 수입지출장부'!$A$5:$A$2013,"&lt;"&amp;DATE(2026,N$5+1,1),'3. 5기 수입지출장부'!$E$5:$E$2013,"&gt;0")&gt;0,"■","")</f>
        <v/>
      </c>
      <c r="O47" s="14" t="str">
        <f>IF(COUNTIFS('3. 5기 수입지출장부'!$C$5:$C$2013,$C46,'3. 5기 수입지출장부'!$A$5:$A$2013,"&gt;="&amp;DATE(2026,O$5,1),'3. 5기 수입지출장부'!$A$5:$A$2013,"&lt;"&amp;DATE(2026,O$5+1,1),'3. 5기 수입지출장부'!$E$5:$E$2013,"&gt;0")&gt;0,"■","")</f>
        <v/>
      </c>
      <c r="P47" s="14" t="str">
        <f>IF(COUNTIFS('3. 5기 수입지출장부'!$C$5:$C$2013,$C46,'3. 5기 수입지출장부'!$A$5:$A$2013,"&gt;="&amp;DATE(2026,P$5,1),'3. 5기 수입지출장부'!$A$5:$A$2013,"&lt;"&amp;DATE(2026,P$5+1,1),'3. 5기 수입지출장부'!$E$5:$E$2013,"&gt;0")&gt;0,"■","")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0.20864868469464229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8992360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1"/>
  <sheetViews>
    <sheetView tabSelected="1" topLeftCell="A156" workbookViewId="0">
      <selection activeCell="H184" sqref="H184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s="177" customFormat="1" ht="16.5" customHeight="1">
      <c r="A168" s="138">
        <v>46297</v>
      </c>
      <c r="B168" s="79" t="s">
        <v>48</v>
      </c>
      <c r="C168" s="139" t="s">
        <v>59</v>
      </c>
      <c r="D168" s="86"/>
      <c r="E168" s="86">
        <v>14700</v>
      </c>
      <c r="F168" s="86"/>
      <c r="G168" s="82">
        <f>G167+Table_1[[#This Row],[수입]]-Table_1[[#This Row],[지출]]</f>
        <v>31988891</v>
      </c>
      <c r="H168" s="87" t="s">
        <v>407</v>
      </c>
      <c r="I168" s="138">
        <v>46297</v>
      </c>
      <c r="J168" s="139" t="s">
        <v>23</v>
      </c>
      <c r="K168" s="139" t="s">
        <v>24</v>
      </c>
      <c r="L168" s="88"/>
      <c r="M168" s="89"/>
      <c r="N168" s="171"/>
      <c r="O168" s="175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300000</v>
      </c>
      <c r="F169" s="86"/>
      <c r="G169" s="82">
        <f>G168+Table_1[[#This Row],[수입]]-Table_1[[#This Row],[지출]]</f>
        <v>31688891</v>
      </c>
      <c r="H169" s="87" t="s">
        <v>416</v>
      </c>
      <c r="I169" s="138">
        <v>46306</v>
      </c>
      <c r="J169" s="79" t="s">
        <v>418</v>
      </c>
      <c r="K169" s="79" t="s">
        <v>398</v>
      </c>
      <c r="L169" s="88"/>
      <c r="M169" s="89"/>
      <c r="N169" s="77"/>
      <c r="O169" s="94"/>
    </row>
    <row r="170" spans="1:26" ht="16.5" customHeight="1">
      <c r="A170" s="138">
        <v>46306</v>
      </c>
      <c r="B170" s="79" t="s">
        <v>48</v>
      </c>
      <c r="C170" s="79" t="s">
        <v>49</v>
      </c>
      <c r="D170" s="86"/>
      <c r="E170" s="86">
        <v>100000</v>
      </c>
      <c r="F170" s="86"/>
      <c r="G170" s="82">
        <f>G169+Table_1[[#This Row],[수입]]-Table_1[[#This Row],[지출]]</f>
        <v>31588891</v>
      </c>
      <c r="H170" s="87" t="s">
        <v>417</v>
      </c>
      <c r="I170" s="138">
        <v>46306</v>
      </c>
      <c r="J170" s="79" t="s">
        <v>41</v>
      </c>
      <c r="K170" s="79" t="s">
        <v>42</v>
      </c>
      <c r="L170" s="88"/>
      <c r="M170" s="89"/>
      <c r="N170" s="77"/>
      <c r="O170" s="94"/>
    </row>
    <row r="171" spans="1:26" ht="16.5" customHeight="1">
      <c r="A171" s="138">
        <v>46307</v>
      </c>
      <c r="B171" s="79" t="s">
        <v>48</v>
      </c>
      <c r="C171" s="139" t="s">
        <v>59</v>
      </c>
      <c r="D171" s="86"/>
      <c r="E171" s="86">
        <v>29500</v>
      </c>
      <c r="F171" s="86"/>
      <c r="G171" s="82">
        <f>G170+Table_1[[#This Row],[수입]]-Table_1[[#This Row],[지출]]</f>
        <v>31559391</v>
      </c>
      <c r="H171" s="87" t="s">
        <v>419</v>
      </c>
      <c r="I171" s="138">
        <v>46307</v>
      </c>
      <c r="J171" s="79" t="s">
        <v>41</v>
      </c>
      <c r="K171" s="79" t="s">
        <v>42</v>
      </c>
      <c r="L171" s="88"/>
      <c r="M171" s="89"/>
      <c r="N171" s="77"/>
      <c r="O171" s="94"/>
    </row>
    <row r="172" spans="1:26" ht="16.5" customHeight="1">
      <c r="A172" s="138">
        <v>46308</v>
      </c>
      <c r="B172" s="79" t="s">
        <v>48</v>
      </c>
      <c r="C172" s="139" t="s">
        <v>59</v>
      </c>
      <c r="D172" s="86"/>
      <c r="E172" s="86">
        <v>7800</v>
      </c>
      <c r="F172" s="86"/>
      <c r="G172" s="82">
        <f>G171+Table_1[[#This Row],[수입]]-Table_1[[#This Row],[지출]]</f>
        <v>31551591</v>
      </c>
      <c r="H172" s="87" t="s">
        <v>420</v>
      </c>
      <c r="I172" s="138">
        <v>46308</v>
      </c>
      <c r="J172" s="139" t="s">
        <v>23</v>
      </c>
      <c r="K172" s="139" t="s">
        <v>24</v>
      </c>
      <c r="L172" s="88"/>
      <c r="M172" s="89"/>
      <c r="N172" s="77"/>
      <c r="O172" s="94"/>
    </row>
    <row r="173" spans="1:26" s="177" customFormat="1" ht="16.5" customHeight="1">
      <c r="A173" s="138">
        <v>46308</v>
      </c>
      <c r="B173" s="79" t="s">
        <v>48</v>
      </c>
      <c r="C173" s="139" t="s">
        <v>59</v>
      </c>
      <c r="D173" s="86"/>
      <c r="E173" s="86">
        <v>5500</v>
      </c>
      <c r="F173" s="86"/>
      <c r="G173" s="82">
        <f>G172+Table_1[[#This Row],[수입]]-Table_1[[#This Row],[지출]]</f>
        <v>31546091</v>
      </c>
      <c r="H173" s="87" t="s">
        <v>400</v>
      </c>
      <c r="I173" s="138">
        <v>46308</v>
      </c>
      <c r="J173" s="79" t="s">
        <v>397</v>
      </c>
      <c r="K173" s="79" t="s">
        <v>398</v>
      </c>
      <c r="L173" s="88"/>
      <c r="M173" s="89"/>
      <c r="N173" s="171"/>
      <c r="O173" s="175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 spans="1:26" ht="16.5" customHeight="1">
      <c r="A174" s="138">
        <v>46309</v>
      </c>
      <c r="B174" s="79" t="s">
        <v>48</v>
      </c>
      <c r="C174" s="139" t="s">
        <v>59</v>
      </c>
      <c r="D174" s="86"/>
      <c r="E174" s="86">
        <v>60800</v>
      </c>
      <c r="F174" s="86"/>
      <c r="G174" s="82">
        <f>G173+Table_1[[#This Row],[수입]]-Table_1[[#This Row],[지출]]</f>
        <v>31485291</v>
      </c>
      <c r="H174" s="87" t="s">
        <v>421</v>
      </c>
      <c r="I174" s="138">
        <v>46309</v>
      </c>
      <c r="J174" s="139" t="s">
        <v>23</v>
      </c>
      <c r="K174" s="139" t="s">
        <v>24</v>
      </c>
      <c r="L174" s="88"/>
      <c r="M174" s="89"/>
      <c r="N174" s="77"/>
      <c r="O174" s="94"/>
    </row>
    <row r="175" spans="1:26" ht="16.5" customHeight="1">
      <c r="A175" s="138">
        <v>46309</v>
      </c>
      <c r="B175" s="79" t="s">
        <v>48</v>
      </c>
      <c r="C175" s="139" t="s">
        <v>59</v>
      </c>
      <c r="D175" s="86"/>
      <c r="E175" s="86">
        <v>31400</v>
      </c>
      <c r="F175" s="86"/>
      <c r="G175" s="82">
        <f>G174+Table_1[[#This Row],[수입]]-Table_1[[#This Row],[지출]]</f>
        <v>31453891</v>
      </c>
      <c r="H175" s="87" t="s">
        <v>402</v>
      </c>
      <c r="I175" s="138">
        <v>46309</v>
      </c>
      <c r="J175" s="79" t="s">
        <v>41</v>
      </c>
      <c r="K175" s="79" t="s">
        <v>42</v>
      </c>
      <c r="L175" s="88"/>
      <c r="M175" s="89"/>
      <c r="N175" s="77"/>
      <c r="O175" s="94"/>
    </row>
    <row r="176" spans="1:26" ht="16.5" customHeight="1">
      <c r="A176" s="138">
        <v>46311</v>
      </c>
      <c r="B176" s="79" t="s">
        <v>48</v>
      </c>
      <c r="C176" s="139" t="s">
        <v>59</v>
      </c>
      <c r="D176" s="86"/>
      <c r="E176" s="86">
        <v>18700</v>
      </c>
      <c r="F176" s="86"/>
      <c r="G176" s="82">
        <f>G175+Table_1[[#This Row],[수입]]-Table_1[[#This Row],[지출]]</f>
        <v>31435191</v>
      </c>
      <c r="H176" s="87" t="s">
        <v>422</v>
      </c>
      <c r="I176" s="138">
        <v>46311</v>
      </c>
      <c r="J176" s="79" t="s">
        <v>41</v>
      </c>
      <c r="K176" s="79" t="s">
        <v>42</v>
      </c>
      <c r="L176" s="88"/>
      <c r="M176" s="89"/>
      <c r="N176" s="77"/>
      <c r="O176" s="94"/>
    </row>
    <row r="177" spans="1:26" s="177" customFormat="1" ht="16.5" customHeight="1">
      <c r="A177" s="138">
        <v>46311</v>
      </c>
      <c r="B177" s="79" t="s">
        <v>48</v>
      </c>
      <c r="C177" s="139" t="s">
        <v>59</v>
      </c>
      <c r="D177" s="86"/>
      <c r="E177" s="86">
        <v>22000</v>
      </c>
      <c r="F177" s="86"/>
      <c r="G177" s="82">
        <f>G176+Table_1[[#This Row],[수입]]-Table_1[[#This Row],[지출]]</f>
        <v>31413191</v>
      </c>
      <c r="H177" s="87" t="s">
        <v>424</v>
      </c>
      <c r="I177" s="138">
        <v>46311</v>
      </c>
      <c r="J177" s="139" t="s">
        <v>37</v>
      </c>
      <c r="K177" s="139" t="s">
        <v>24</v>
      </c>
      <c r="L177" s="88"/>
      <c r="M177" s="89"/>
      <c r="N177" s="171"/>
      <c r="O177" s="175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 spans="1:26" ht="16.5" customHeight="1">
      <c r="A178" s="138">
        <v>46314</v>
      </c>
      <c r="B178" s="79" t="s">
        <v>48</v>
      </c>
      <c r="C178" s="139" t="s">
        <v>59</v>
      </c>
      <c r="D178" s="86"/>
      <c r="E178" s="86">
        <v>12800</v>
      </c>
      <c r="F178" s="86"/>
      <c r="G178" s="82">
        <f>G177+Table_1[[#This Row],[수입]]-Table_1[[#This Row],[지출]]</f>
        <v>31400391</v>
      </c>
      <c r="H178" s="87" t="s">
        <v>423</v>
      </c>
      <c r="I178" s="138">
        <v>46314</v>
      </c>
      <c r="J178" s="79" t="s">
        <v>41</v>
      </c>
      <c r="K178" s="79" t="s">
        <v>42</v>
      </c>
      <c r="L178" s="88"/>
      <c r="M178" s="89"/>
      <c r="N178" s="77"/>
      <c r="O178" s="94"/>
    </row>
    <row r="179" spans="1:26" ht="16.5" customHeight="1">
      <c r="A179" s="138">
        <v>46315</v>
      </c>
      <c r="B179" s="79" t="s">
        <v>48</v>
      </c>
      <c r="C179" s="139" t="s">
        <v>59</v>
      </c>
      <c r="D179" s="86"/>
      <c r="E179" s="86">
        <v>8400</v>
      </c>
      <c r="F179" s="86"/>
      <c r="G179" s="82">
        <f>G178+Table_1[[#This Row],[수입]]-Table_1[[#This Row],[지출]]</f>
        <v>31391991</v>
      </c>
      <c r="H179" s="87" t="s">
        <v>425</v>
      </c>
      <c r="I179" s="138">
        <v>46315</v>
      </c>
      <c r="J179" s="139" t="s">
        <v>37</v>
      </c>
      <c r="K179" s="139" t="s">
        <v>24</v>
      </c>
      <c r="L179" s="88"/>
      <c r="M179" s="89"/>
      <c r="N179" s="77"/>
      <c r="O179" s="94"/>
    </row>
    <row r="180" spans="1:26" ht="16.5" customHeight="1">
      <c r="A180" s="138">
        <v>46315</v>
      </c>
      <c r="B180" s="79" t="s">
        <v>48</v>
      </c>
      <c r="C180" s="79" t="s">
        <v>49</v>
      </c>
      <c r="D180" s="86"/>
      <c r="E180" s="86">
        <v>200000</v>
      </c>
      <c r="F180" s="86"/>
      <c r="G180" s="82">
        <f>G179+Table_1[[#This Row],[수입]]-Table_1[[#This Row],[지출]]</f>
        <v>31191991</v>
      </c>
      <c r="H180" s="87" t="s">
        <v>426</v>
      </c>
      <c r="I180" s="138">
        <v>46315</v>
      </c>
      <c r="J180" s="79" t="s">
        <v>427</v>
      </c>
      <c r="K180" s="79" t="s">
        <v>428</v>
      </c>
      <c r="L180" s="88"/>
      <c r="M180" s="89"/>
      <c r="N180" s="77"/>
    </row>
    <row r="181" spans="1:26" s="286" customFormat="1" ht="16.5" customHeight="1">
      <c r="A181" s="283"/>
      <c r="B181" s="79"/>
      <c r="C181" s="80"/>
      <c r="D181" s="86"/>
      <c r="E181" s="86"/>
      <c r="F181" s="86"/>
      <c r="G181" s="82"/>
      <c r="H181" s="87"/>
      <c r="I181" s="283"/>
      <c r="J181" s="79"/>
      <c r="K181" s="79"/>
      <c r="L181" s="88"/>
      <c r="M181" s="89"/>
      <c r="N181" s="284"/>
      <c r="O181" s="285"/>
      <c r="P181" s="285"/>
      <c r="Q181" s="285"/>
      <c r="R181" s="285"/>
      <c r="S181" s="285"/>
      <c r="T181" s="285"/>
      <c r="U181" s="285"/>
      <c r="V181" s="285"/>
      <c r="W181" s="285"/>
      <c r="X181" s="285"/>
      <c r="Y181" s="285"/>
      <c r="Z181" s="285"/>
    </row>
    <row r="182" spans="1:26" s="286" customFormat="1" ht="16.5" customHeight="1">
      <c r="A182" s="283"/>
      <c r="B182" s="79"/>
      <c r="C182" s="80"/>
      <c r="D182" s="86"/>
      <c r="E182" s="86"/>
      <c r="F182" s="86"/>
      <c r="G182" s="82"/>
      <c r="H182" s="87"/>
      <c r="I182" s="283"/>
      <c r="J182" s="79"/>
      <c r="K182" s="79"/>
      <c r="L182" s="88"/>
      <c r="M182" s="89"/>
      <c r="N182" s="284"/>
      <c r="O182" s="285"/>
      <c r="P182" s="285"/>
      <c r="Q182" s="285"/>
      <c r="R182" s="285"/>
      <c r="S182" s="285"/>
      <c r="T182" s="285"/>
      <c r="U182" s="285"/>
      <c r="V182" s="285"/>
      <c r="W182" s="285"/>
      <c r="X182" s="285"/>
      <c r="Y182" s="285"/>
      <c r="Z182" s="285"/>
    </row>
    <row r="183" spans="1:26" s="286" customFormat="1" ht="16.5" customHeight="1">
      <c r="A183" s="283"/>
      <c r="B183" s="79"/>
      <c r="C183" s="80"/>
      <c r="D183" s="86"/>
      <c r="E183" s="86"/>
      <c r="F183" s="86"/>
      <c r="G183" s="82"/>
      <c r="H183" s="87"/>
      <c r="I183" s="283"/>
      <c r="J183" s="79"/>
      <c r="K183" s="79"/>
      <c r="L183" s="88"/>
      <c r="M183" s="89"/>
      <c r="N183" s="284"/>
      <c r="O183" s="285"/>
      <c r="P183" s="285"/>
      <c r="Q183" s="285"/>
      <c r="R183" s="285"/>
      <c r="S183" s="285"/>
      <c r="T183" s="285"/>
      <c r="U183" s="285"/>
      <c r="V183" s="285"/>
      <c r="W183" s="285"/>
      <c r="X183" s="285"/>
      <c r="Y183" s="285"/>
      <c r="Z183" s="285"/>
    </row>
    <row r="184" spans="1:26" s="286" customFormat="1" ht="16.5" customHeight="1">
      <c r="A184" s="283"/>
      <c r="B184" s="79"/>
      <c r="C184" s="80"/>
      <c r="D184" s="86"/>
      <c r="E184" s="86"/>
      <c r="F184" s="86"/>
      <c r="G184" s="82"/>
      <c r="H184" s="87"/>
      <c r="I184" s="283"/>
      <c r="J184" s="79"/>
      <c r="K184" s="79"/>
      <c r="L184" s="88"/>
      <c r="M184" s="89"/>
      <c r="N184" s="284"/>
      <c r="O184" s="285"/>
      <c r="P184" s="285"/>
      <c r="Q184" s="285"/>
      <c r="R184" s="285"/>
      <c r="S184" s="285"/>
      <c r="T184" s="285"/>
      <c r="U184" s="285"/>
      <c r="V184" s="285"/>
      <c r="W184" s="285"/>
      <c r="X184" s="285"/>
      <c r="Y184" s="285"/>
      <c r="Z184" s="285"/>
    </row>
    <row r="185" spans="1:26" ht="16.5" customHeight="1">
      <c r="A185" s="85"/>
      <c r="B185" s="79"/>
      <c r="C185" s="80"/>
      <c r="D185" s="86"/>
      <c r="E185" s="86"/>
      <c r="F185" s="86"/>
      <c r="G185" s="82"/>
      <c r="H185" s="87"/>
      <c r="I185" s="88"/>
      <c r="J185" s="79"/>
      <c r="K185" s="79"/>
      <c r="L185" s="88"/>
      <c r="M185" s="89"/>
      <c r="N185" s="77"/>
    </row>
    <row r="186" spans="1:26" ht="16.5" customHeight="1">
      <c r="D186" s="75"/>
      <c r="E186" s="75"/>
      <c r="F186" s="75"/>
      <c r="G186" s="75"/>
      <c r="L186" s="76"/>
      <c r="N186" s="77"/>
    </row>
    <row r="187" spans="1:26" ht="16.5" customHeight="1">
      <c r="A187" s="178" t="s">
        <v>48</v>
      </c>
      <c r="B187" s="178" t="s">
        <v>219</v>
      </c>
      <c r="C187" s="178" t="s">
        <v>238</v>
      </c>
      <c r="D187" s="178" t="s">
        <v>222</v>
      </c>
      <c r="E187" s="178" t="s">
        <v>55</v>
      </c>
      <c r="F187" s="178" t="s">
        <v>239</v>
      </c>
      <c r="G187" s="178" t="s">
        <v>4</v>
      </c>
      <c r="H187" s="178" t="s">
        <v>19</v>
      </c>
      <c r="J187" s="120" t="s">
        <v>240</v>
      </c>
      <c r="K187" s="120" t="s">
        <v>241</v>
      </c>
      <c r="N187" s="77"/>
    </row>
    <row r="188" spans="1:26" ht="16.5" customHeight="1">
      <c r="A188" s="95" t="s">
        <v>49</v>
      </c>
      <c r="B188" s="95" t="s">
        <v>242</v>
      </c>
      <c r="C188" s="95" t="s">
        <v>243</v>
      </c>
      <c r="D188" s="95" t="s">
        <v>223</v>
      </c>
      <c r="E188" s="95" t="s">
        <v>244</v>
      </c>
      <c r="F188" s="95" t="s">
        <v>245</v>
      </c>
      <c r="G188" s="95" t="s">
        <v>17</v>
      </c>
      <c r="H188" s="95" t="s">
        <v>20</v>
      </c>
      <c r="K188" s="120" t="s">
        <v>246</v>
      </c>
      <c r="N188" s="77"/>
    </row>
    <row r="189" spans="1:26" ht="16.5" customHeight="1">
      <c r="A189" s="95" t="s">
        <v>247</v>
      </c>
      <c r="B189" s="95" t="s">
        <v>220</v>
      </c>
      <c r="C189" s="95" t="s">
        <v>248</v>
      </c>
      <c r="D189" s="95" t="s">
        <v>249</v>
      </c>
      <c r="E189" s="95" t="s">
        <v>56</v>
      </c>
      <c r="F189" s="95" t="s">
        <v>250</v>
      </c>
      <c r="G189" s="95" t="s">
        <v>251</v>
      </c>
      <c r="H189" s="95" t="s">
        <v>49</v>
      </c>
      <c r="N189" s="77"/>
    </row>
    <row r="190" spans="1:26" ht="16.5" customHeight="1">
      <c r="A190" s="95" t="s">
        <v>104</v>
      </c>
      <c r="B190" s="95" t="s">
        <v>252</v>
      </c>
      <c r="E190" s="95" t="s">
        <v>253</v>
      </c>
      <c r="F190" s="95" t="s">
        <v>254</v>
      </c>
      <c r="G190" s="95" t="s">
        <v>15</v>
      </c>
      <c r="H190" s="95" t="s">
        <v>59</v>
      </c>
      <c r="N190" s="77"/>
    </row>
    <row r="191" spans="1:26" ht="16.5" customHeight="1">
      <c r="A191" s="95" t="s">
        <v>255</v>
      </c>
      <c r="E191" s="95" t="s">
        <v>256</v>
      </c>
      <c r="G191" s="95" t="s">
        <v>234</v>
      </c>
      <c r="N191" s="77"/>
    </row>
    <row r="192" spans="1:26" ht="16.5" customHeight="1">
      <c r="A192" s="95" t="s">
        <v>257</v>
      </c>
      <c r="D192" s="76"/>
      <c r="G192" s="95" t="s">
        <v>258</v>
      </c>
      <c r="N192" s="77"/>
    </row>
    <row r="193" spans="1:14" ht="16.5" customHeight="1">
      <c r="A193" s="95" t="s">
        <v>59</v>
      </c>
      <c r="D193" s="76"/>
      <c r="G193" s="95" t="s">
        <v>162</v>
      </c>
      <c r="N193" s="77"/>
    </row>
    <row r="194" spans="1:14" ht="16.5" customHeight="1">
      <c r="A194" s="95" t="s">
        <v>259</v>
      </c>
      <c r="D194" s="76"/>
      <c r="G194" s="95" t="s">
        <v>260</v>
      </c>
      <c r="N194" s="77"/>
    </row>
    <row r="195" spans="1:14" ht="16.5" customHeight="1">
      <c r="A195" s="95" t="s">
        <v>261</v>
      </c>
      <c r="D195" s="76"/>
      <c r="N195" s="77"/>
    </row>
    <row r="196" spans="1:14" ht="16.5" customHeight="1">
      <c r="A196" s="95" t="s">
        <v>262</v>
      </c>
      <c r="D196" s="76"/>
      <c r="N196" s="77"/>
    </row>
    <row r="197" spans="1:14" ht="16.5" customHeight="1">
      <c r="A197" s="95" t="s">
        <v>260</v>
      </c>
      <c r="D197" s="76"/>
      <c r="N197" s="77"/>
    </row>
    <row r="198" spans="1:14" ht="16.5" customHeight="1">
      <c r="A198" s="95" t="s">
        <v>263</v>
      </c>
      <c r="D198" s="76"/>
      <c r="N198" s="77"/>
    </row>
    <row r="199" spans="1:14" ht="16.5" customHeight="1">
      <c r="A199" s="95" t="s">
        <v>19</v>
      </c>
      <c r="D199" s="76"/>
      <c r="N199" s="77"/>
    </row>
    <row r="200" spans="1:14" ht="16.5" customHeight="1">
      <c r="D200" s="75"/>
      <c r="E200" s="75"/>
      <c r="F200" s="75"/>
      <c r="G200" s="75"/>
      <c r="L200" s="76"/>
      <c r="N200" s="77"/>
    </row>
    <row r="201" spans="1:14" ht="16.5" customHeight="1">
      <c r="D201" s="75"/>
      <c r="E201" s="96" t="s">
        <v>264</v>
      </c>
      <c r="F201" s="96"/>
      <c r="G201" s="96" t="s">
        <v>7</v>
      </c>
      <c r="L201" s="76"/>
      <c r="N201" s="77"/>
    </row>
    <row r="202" spans="1:14" ht="16.5" customHeight="1">
      <c r="A202" s="68" t="s">
        <v>49</v>
      </c>
      <c r="B202" s="34" t="s">
        <v>49</v>
      </c>
      <c r="C202" s="35" t="s">
        <v>49</v>
      </c>
      <c r="D202" s="59">
        <v>3300000</v>
      </c>
      <c r="E202" s="75">
        <f>SUMIF(Table_1[내용 및 목적],"경조금",Table_1[지출])</f>
        <v>1400000</v>
      </c>
      <c r="F202" s="267">
        <f t="shared" ref="F202:F220" si="0">D202-E202</f>
        <v>1900000</v>
      </c>
      <c r="G202" s="187"/>
      <c r="L202" s="76"/>
      <c r="N202" s="77"/>
    </row>
    <row r="203" spans="1:14" ht="16.5" customHeight="1">
      <c r="A203" s="261" t="s">
        <v>265</v>
      </c>
      <c r="B203" s="34" t="s">
        <v>266</v>
      </c>
      <c r="C203" s="35" t="s">
        <v>247</v>
      </c>
      <c r="D203" s="59">
        <f>214200*3*3</f>
        <v>1927800</v>
      </c>
      <c r="E203" s="75">
        <f>SUMIF(Table_1[내용 및 목적],"국내여비",Table_1[지출])</f>
        <v>0</v>
      </c>
      <c r="F203" s="267">
        <f t="shared" si="0"/>
        <v>1927800</v>
      </c>
      <c r="G203" s="187"/>
      <c r="L203" s="76"/>
      <c r="N203" s="77"/>
    </row>
    <row r="204" spans="1:14" ht="16.5" customHeight="1">
      <c r="A204" s="260"/>
      <c r="B204" s="259" t="s">
        <v>267</v>
      </c>
      <c r="C204" s="35" t="s">
        <v>104</v>
      </c>
      <c r="D204" s="59">
        <f>5000*9*12</f>
        <v>540000</v>
      </c>
      <c r="E204" s="75">
        <f>SUMIF(Table_1[내용 및 목적],"운영위원회의비",Table_1[지출])</f>
        <v>166000</v>
      </c>
      <c r="F204" s="267">
        <f t="shared" si="0"/>
        <v>374000</v>
      </c>
      <c r="G204" s="187"/>
      <c r="L204" s="76"/>
      <c r="N204" s="77"/>
    </row>
    <row r="205" spans="1:14" ht="16.5" customHeight="1">
      <c r="A205" s="260"/>
      <c r="B205" s="260"/>
      <c r="C205" s="35" t="s">
        <v>255</v>
      </c>
      <c r="D205" s="59">
        <v>1000000</v>
      </c>
      <c r="E205" s="75">
        <f>SUMIF(Table_1[내용 및 목적],"대의원선거비",Table_1[지출])</f>
        <v>0</v>
      </c>
      <c r="F205" s="267">
        <f t="shared" si="0"/>
        <v>1000000</v>
      </c>
      <c r="G205" s="187"/>
      <c r="L205" s="76"/>
      <c r="N205" s="77"/>
    </row>
    <row r="206" spans="1:14" ht="16.5" customHeight="1">
      <c r="A206" s="260"/>
      <c r="B206" s="260"/>
      <c r="C206" s="35" t="s">
        <v>244</v>
      </c>
      <c r="D206" s="59">
        <f>50000*8</f>
        <v>400000</v>
      </c>
      <c r="E206" s="75">
        <f>SUMIF(Table_1[내용 및 목적],"조직부회의비",Table_1[지출])</f>
        <v>376000</v>
      </c>
      <c r="F206" s="267">
        <f t="shared" si="0"/>
        <v>24000</v>
      </c>
      <c r="G206" s="187"/>
      <c r="L206" s="76"/>
      <c r="N206" s="77"/>
    </row>
    <row r="207" spans="1:14" ht="16.5" customHeight="1">
      <c r="A207" s="260"/>
      <c r="B207" s="260"/>
      <c r="C207" s="35" t="s">
        <v>223</v>
      </c>
      <c r="D207" s="59">
        <f>50000*4</f>
        <v>200000</v>
      </c>
      <c r="E207" s="75">
        <f>SUMIF(Table_1[내용 및 목적],"정책부회의비",Table_1[지출])</f>
        <v>135000</v>
      </c>
      <c r="F207" s="267">
        <f t="shared" si="0"/>
        <v>65000</v>
      </c>
      <c r="G207" s="187"/>
      <c r="L207" s="76"/>
      <c r="N207" s="77"/>
    </row>
    <row r="208" spans="1:14" ht="16.5" customHeight="1">
      <c r="A208" s="260"/>
      <c r="B208" s="260"/>
      <c r="C208" s="35" t="s">
        <v>243</v>
      </c>
      <c r="D208" s="59">
        <v>200000</v>
      </c>
      <c r="E208" s="75">
        <f>SUMIF(Table_1[내용 및 목적],"대협회의비",Table_1[지출])</f>
        <v>0</v>
      </c>
      <c r="F208" s="267">
        <f t="shared" si="0"/>
        <v>200000</v>
      </c>
      <c r="G208" s="187"/>
      <c r="L208" s="76"/>
      <c r="N208" s="77"/>
    </row>
    <row r="209" spans="1:14" ht="16.5" customHeight="1">
      <c r="A209" s="260"/>
      <c r="B209" s="185"/>
      <c r="C209" s="35" t="s">
        <v>220</v>
      </c>
      <c r="D209" s="59">
        <v>200000</v>
      </c>
      <c r="E209" s="75">
        <f>SUMIF(Table_1[내용 및 목적],"교선회의비",Table_1[지출])</f>
        <v>135000</v>
      </c>
      <c r="F209" s="267">
        <f t="shared" si="0"/>
        <v>65000</v>
      </c>
      <c r="G209" s="187"/>
      <c r="L209" s="76"/>
      <c r="N209" s="77"/>
    </row>
    <row r="210" spans="1:14" ht="16.5" customHeight="1">
      <c r="A210" s="185"/>
      <c r="B210" s="34" t="s">
        <v>268</v>
      </c>
      <c r="C210" s="35" t="s">
        <v>257</v>
      </c>
      <c r="D210" s="59">
        <v>0</v>
      </c>
      <c r="E210" s="75">
        <f>SUMIF(Table_1[내용 및 목적],"사무용품비",Table_1[지출])</f>
        <v>0</v>
      </c>
      <c r="F210" s="267">
        <f t="shared" si="0"/>
        <v>0</v>
      </c>
      <c r="G210" s="187"/>
      <c r="L210" s="76"/>
      <c r="N210" s="77"/>
    </row>
    <row r="211" spans="1:14" ht="16.5" customHeight="1">
      <c r="A211" s="261" t="s">
        <v>269</v>
      </c>
      <c r="B211" s="34" t="s">
        <v>270</v>
      </c>
      <c r="C211" s="47" t="s">
        <v>59</v>
      </c>
      <c r="D211" s="59">
        <f>300000*12</f>
        <v>3600000</v>
      </c>
      <c r="E211" s="75">
        <f>SUMIF(Table_1[내용 및 목적],"의장단활동비",Table_1[지출])</f>
        <v>3432660</v>
      </c>
      <c r="F211" s="267">
        <f t="shared" si="0"/>
        <v>167340</v>
      </c>
      <c r="G211" s="187"/>
      <c r="L211" s="76"/>
      <c r="N211" s="77"/>
    </row>
    <row r="212" spans="1:14" ht="16.5" customHeight="1">
      <c r="A212" s="260"/>
      <c r="B212" s="259" t="s">
        <v>271</v>
      </c>
      <c r="C212" s="47" t="s">
        <v>56</v>
      </c>
      <c r="D212" s="59">
        <v>8000000</v>
      </c>
      <c r="E212" s="75">
        <f>SUMIF(Table_1[내용 및 목적],"조직활동비",Table_1[지출])</f>
        <v>3347700</v>
      </c>
      <c r="F212" s="267">
        <f t="shared" si="0"/>
        <v>4652300</v>
      </c>
      <c r="G212" s="187"/>
      <c r="L212" s="76"/>
      <c r="N212" s="77"/>
    </row>
    <row r="213" spans="1:14" ht="16.5" customHeight="1">
      <c r="A213" s="260"/>
      <c r="B213" s="260"/>
      <c r="C213" s="35" t="s">
        <v>259</v>
      </c>
      <c r="D213" s="59">
        <v>300000</v>
      </c>
      <c r="E213" s="75">
        <f>SUMIF(Table_1[내용 및 목적],"조직원포상비",Table_1[지출])</f>
        <v>0</v>
      </c>
      <c r="F213" s="267">
        <f t="shared" si="0"/>
        <v>300000</v>
      </c>
      <c r="G213" s="187"/>
      <c r="L213" s="76"/>
      <c r="N213" s="77"/>
    </row>
    <row r="214" spans="1:14" ht="16.5" customHeight="1">
      <c r="A214" s="260"/>
      <c r="B214" s="260"/>
      <c r="C214" s="35" t="s">
        <v>261</v>
      </c>
      <c r="D214" s="59">
        <f>20000*200</f>
        <v>4000000</v>
      </c>
      <c r="E214" s="75">
        <f>SUMIF(Table_1[내용 및 목적],"선물비",Table_1[지출])</f>
        <v>0</v>
      </c>
      <c r="F214" s="267">
        <f t="shared" si="0"/>
        <v>4000000</v>
      </c>
      <c r="G214" s="187"/>
      <c r="L214" s="76"/>
      <c r="N214" s="77"/>
    </row>
    <row r="215" spans="1:14" ht="16.5" customHeight="1">
      <c r="A215" s="260"/>
      <c r="B215" s="260"/>
      <c r="C215" s="35" t="s">
        <v>253</v>
      </c>
      <c r="D215" s="59">
        <f>50000*46</f>
        <v>2300000</v>
      </c>
      <c r="E215" s="75">
        <f>SUMIF(Table_1[내용 및 목적],"조직원수련회비",Table_1[지출])</f>
        <v>0</v>
      </c>
      <c r="F215" s="267">
        <f t="shared" si="0"/>
        <v>2300000</v>
      </c>
      <c r="G215" s="187"/>
      <c r="L215" s="76"/>
      <c r="N215" s="77"/>
    </row>
    <row r="216" spans="1:14" ht="16.5" customHeight="1">
      <c r="A216" s="260"/>
      <c r="B216" s="185"/>
      <c r="C216" s="35" t="s">
        <v>256</v>
      </c>
      <c r="D216" s="59"/>
      <c r="E216" s="75">
        <f>SUMIF(Table_1[내용 및 목적],"후원회원행사비",Table_1[지출])</f>
        <v>0</v>
      </c>
      <c r="F216" s="267">
        <f t="shared" si="0"/>
        <v>0</v>
      </c>
      <c r="G216" s="187"/>
      <c r="L216" s="76"/>
      <c r="N216" s="77"/>
    </row>
    <row r="217" spans="1:14" ht="16.5" customHeight="1">
      <c r="A217" s="260"/>
      <c r="B217" s="34" t="s">
        <v>272</v>
      </c>
      <c r="C217" s="35" t="s">
        <v>249</v>
      </c>
      <c r="D217" s="59">
        <v>600000</v>
      </c>
      <c r="E217" s="75">
        <f>SUMIF(Table_1[내용 및 목적],"정책활동비",Table_1[지출])</f>
        <v>0</v>
      </c>
      <c r="F217" s="267">
        <f t="shared" si="0"/>
        <v>600000</v>
      </c>
      <c r="G217" s="187"/>
      <c r="L217" s="76"/>
      <c r="N217" s="77"/>
    </row>
    <row r="218" spans="1:14" ht="16.5" customHeight="1">
      <c r="A218" s="260"/>
      <c r="B218" s="34" t="s">
        <v>273</v>
      </c>
      <c r="C218" s="35" t="s">
        <v>248</v>
      </c>
      <c r="D218" s="59">
        <v>300000</v>
      </c>
      <c r="E218" s="75">
        <f>SUMIF(Table_1[내용 및 목적],"대협활동비",Table_1[지출])</f>
        <v>0</v>
      </c>
      <c r="F218" s="267">
        <f t="shared" si="0"/>
        <v>300000</v>
      </c>
      <c r="G218" s="187"/>
      <c r="L218" s="76"/>
      <c r="N218" s="77"/>
    </row>
    <row r="219" spans="1:14" ht="16.5" customHeight="1">
      <c r="A219" s="260"/>
      <c r="B219" s="259" t="s">
        <v>274</v>
      </c>
      <c r="C219" s="35" t="s">
        <v>252</v>
      </c>
      <c r="D219" s="59">
        <v>500000</v>
      </c>
      <c r="E219" s="75">
        <f>SUMIF(Table_1[내용 및 목적],"대자보비",Table_1[지출])</f>
        <v>0</v>
      </c>
      <c r="F219" s="267">
        <f t="shared" si="0"/>
        <v>500000</v>
      </c>
      <c r="G219" s="187"/>
      <c r="L219" s="76"/>
      <c r="N219" s="77"/>
    </row>
    <row r="220" spans="1:14" ht="16.5" customHeight="1">
      <c r="A220" s="185"/>
      <c r="B220" s="185"/>
      <c r="C220" s="35" t="s">
        <v>242</v>
      </c>
      <c r="D220" s="59">
        <f>800000-400000</f>
        <v>400000</v>
      </c>
      <c r="E220" s="75">
        <f>SUMIF(Table_1[내용 및 목적],"유인물,현수막비",Table_1[지출])</f>
        <v>0</v>
      </c>
      <c r="F220" s="267">
        <f t="shared" si="0"/>
        <v>400000</v>
      </c>
      <c r="G220" s="187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  <row r="1088" spans="4:14" ht="16.5" customHeight="1">
      <c r="D1088" s="75"/>
      <c r="E1088" s="75"/>
      <c r="F1088" s="75"/>
      <c r="G1088" s="75"/>
      <c r="L1088" s="76"/>
      <c r="N1088" s="77"/>
    </row>
    <row r="1089" spans="4:14" ht="16.5" customHeight="1">
      <c r="D1089" s="75"/>
      <c r="E1089" s="75"/>
      <c r="F1089" s="75"/>
      <c r="G1089" s="75"/>
      <c r="L1089" s="76"/>
      <c r="N1089" s="77"/>
    </row>
    <row r="1090" spans="4:14" ht="16.5" customHeight="1">
      <c r="D1090" s="75"/>
      <c r="E1090" s="75"/>
      <c r="F1090" s="75"/>
      <c r="G1090" s="75"/>
      <c r="L1090" s="76"/>
      <c r="N1090" s="77"/>
    </row>
    <row r="1091" spans="4:14" ht="16.5" customHeight="1">
      <c r="D1091" s="75"/>
      <c r="E1091" s="75"/>
      <c r="F1091" s="75"/>
      <c r="G1091" s="75"/>
      <c r="L1091" s="76"/>
      <c r="N1091" s="77"/>
    </row>
  </sheetData>
  <mergeCells count="27">
    <mergeCell ref="O29:O49"/>
    <mergeCell ref="B212:B216"/>
    <mergeCell ref="A1:N2"/>
    <mergeCell ref="F220:G220"/>
    <mergeCell ref="F205:G205"/>
    <mergeCell ref="B219:B220"/>
    <mergeCell ref="F217:G217"/>
    <mergeCell ref="F207:G207"/>
    <mergeCell ref="F218:G218"/>
    <mergeCell ref="F203:G203"/>
    <mergeCell ref="F202:G202"/>
    <mergeCell ref="F211:G211"/>
    <mergeCell ref="A211:A220"/>
    <mergeCell ref="F214:G214"/>
    <mergeCell ref="F208:G208"/>
    <mergeCell ref="F204:G204"/>
    <mergeCell ref="F219:G219"/>
    <mergeCell ref="F209:G209"/>
    <mergeCell ref="F216:G216"/>
    <mergeCell ref="B204:B209"/>
    <mergeCell ref="F215:G215"/>
    <mergeCell ref="O52:O54"/>
    <mergeCell ref="F206:G206"/>
    <mergeCell ref="F212:G212"/>
    <mergeCell ref="F213:G213"/>
    <mergeCell ref="A203:A210"/>
    <mergeCell ref="F210:G210"/>
  </mergeCells>
  <phoneticPr fontId="33" type="noConversion"/>
  <dataValidations count="4">
    <dataValidation type="list" allowBlank="1" showErrorMessage="1" sqref="C5:C107 C141 C147 C162 C169:C170 C166:C167 C180:C185" xr:uid="{00000000-0002-0000-0200-000000000000}">
      <formula1>INDIRECT(B5)</formula1>
    </dataValidation>
    <dataValidation type="list" allowBlank="1" showInputMessage="1" showErrorMessage="1" sqref="A187" xr:uid="{00000000-0002-0000-0200-000001000000}">
      <formula1>INDIRECT(A187)</formula1>
    </dataValidation>
    <dataValidation type="list" allowBlank="1" showInputMessage="1" sqref="C108:C140 C142:C146 C148:C161 C163:C165 C168 C171:C179" xr:uid="{00000000-0002-0000-0200-000002000000}">
      <formula1>INDIRECT($B108)</formula1>
    </dataValidation>
    <dataValidation type="list" allowBlank="1" showErrorMessage="1" sqref="B5:B185" xr:uid="{00000000-0002-0000-0200-000003000000}">
      <formula1>$A$187:$H$187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수입지출장부'!$D$5:$D$2013,'3. 5기 수입지출장부'!$C$5:$C$2013,"재정사업")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수입지출장부'!$D$5:$D$2013,'3. 5기 수입지출장부'!$C$5:$C$2013,"이자수입")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수입지출장부'!E202:E220)</f>
        <v>8992360</v>
      </c>
      <c r="E5" s="276"/>
      <c r="F5" s="275">
        <f>LOOKUP(9.99E+307,Table_1[잔액])</f>
        <v>31191991</v>
      </c>
      <c r="G5" s="276"/>
      <c r="I5" s="282">
        <f>D5/B5</f>
        <v>0.20864868469464229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수입지출장부'!D202</f>
        <v>3300000</v>
      </c>
      <c r="E11" s="162">
        <f>'3. 5기 수입지출장부'!E202</f>
        <v>1400000</v>
      </c>
      <c r="F11" s="163">
        <f>'3. 5기 수입지출장부'!F202</f>
        <v>1900000</v>
      </c>
      <c r="G11" s="164">
        <f t="shared" ref="G11:G29" si="0">IFERROR(E11/D11,0)</f>
        <v>0.42424242424242425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수입지출장부'!D203</f>
        <v>1927800</v>
      </c>
      <c r="E12" s="168">
        <f>'3. 5기 수입지출장부'!E203</f>
        <v>0</v>
      </c>
      <c r="F12" s="169">
        <f>'3. 5기 수입지출장부'!F203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수입지출장부'!D204</f>
        <v>540000</v>
      </c>
      <c r="E13" s="162">
        <f>'3. 5기 수입지출장부'!E204</f>
        <v>166000</v>
      </c>
      <c r="F13" s="163">
        <f>'3. 5기 수입지출장부'!F204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수입지출장부'!D205</f>
        <v>1000000</v>
      </c>
      <c r="E14" s="168">
        <f>'3. 5기 수입지출장부'!E205</f>
        <v>0</v>
      </c>
      <c r="F14" s="169">
        <f>'3. 5기 수입지출장부'!F205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수입지출장부'!D206</f>
        <v>400000</v>
      </c>
      <c r="E15" s="162">
        <f>'3. 5기 수입지출장부'!E206</f>
        <v>376000</v>
      </c>
      <c r="F15" s="163">
        <f>'3. 5기 수입지출장부'!F206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수입지출장부'!D207</f>
        <v>200000</v>
      </c>
      <c r="E16" s="168">
        <f>'3. 5기 수입지출장부'!E207</f>
        <v>135000</v>
      </c>
      <c r="F16" s="169">
        <f>'3. 5기 수입지출장부'!F207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수입지출장부'!D208</f>
        <v>200000</v>
      </c>
      <c r="E17" s="162">
        <f>'3. 5기 수입지출장부'!E208</f>
        <v>0</v>
      </c>
      <c r="F17" s="163">
        <f>'3. 5기 수입지출장부'!F208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수입지출장부'!D209</f>
        <v>200000</v>
      </c>
      <c r="E18" s="168">
        <f>'3. 5기 수입지출장부'!E209</f>
        <v>135000</v>
      </c>
      <c r="F18" s="169">
        <f>'3. 5기 수입지출장부'!F209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수입지출장부'!D210</f>
        <v>0</v>
      </c>
      <c r="E19" s="162">
        <f>'3. 5기 수입지출장부'!E210</f>
        <v>0</v>
      </c>
      <c r="F19" s="163">
        <f>'3. 5기 수입지출장부'!F210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수입지출장부'!D211</f>
        <v>3600000</v>
      </c>
      <c r="E20" s="168">
        <f>'3. 5기 수입지출장부'!E211</f>
        <v>3432660</v>
      </c>
      <c r="F20" s="169">
        <f>'3. 5기 수입지출장부'!F211</f>
        <v>167340</v>
      </c>
      <c r="G20" s="170">
        <f t="shared" si="0"/>
        <v>0.95351666666666668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수입지출장부'!D212</f>
        <v>8000000</v>
      </c>
      <c r="E21" s="162">
        <f>'3. 5기 수입지출장부'!E212</f>
        <v>3347700</v>
      </c>
      <c r="F21" s="163">
        <f>'3. 5기 수입지출장부'!F212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수입지출장부'!D213</f>
        <v>300000</v>
      </c>
      <c r="E22" s="168">
        <f>'3. 5기 수입지출장부'!E213</f>
        <v>0</v>
      </c>
      <c r="F22" s="169">
        <f>'3. 5기 수입지출장부'!F213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수입지출장부'!D214</f>
        <v>4000000</v>
      </c>
      <c r="E23" s="162">
        <f>'3. 5기 수입지출장부'!E214</f>
        <v>0</v>
      </c>
      <c r="F23" s="163">
        <f>'3. 5기 수입지출장부'!F214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수입지출장부'!D215</f>
        <v>2300000</v>
      </c>
      <c r="E24" s="168">
        <f>'3. 5기 수입지출장부'!E215</f>
        <v>0</v>
      </c>
      <c r="F24" s="169">
        <f>'3. 5기 수입지출장부'!F215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수입지출장부'!D216</f>
        <v>0</v>
      </c>
      <c r="E25" s="162">
        <f>'3. 5기 수입지출장부'!E216</f>
        <v>0</v>
      </c>
      <c r="F25" s="163">
        <f>'3. 5기 수입지출장부'!F216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수입지출장부'!D217</f>
        <v>600000</v>
      </c>
      <c r="E26" s="168">
        <f>'3. 5기 수입지출장부'!E217</f>
        <v>0</v>
      </c>
      <c r="F26" s="169">
        <f>'3. 5기 수입지출장부'!F217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수입지출장부'!D218</f>
        <v>300000</v>
      </c>
      <c r="E27" s="162">
        <f>'3. 5기 수입지출장부'!E218</f>
        <v>0</v>
      </c>
      <c r="F27" s="163">
        <f>'3. 5기 수입지출장부'!F218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수입지출장부'!D219</f>
        <v>500000</v>
      </c>
      <c r="E28" s="168">
        <f>'3. 5기 수입지출장부'!E219</f>
        <v>0</v>
      </c>
      <c r="F28" s="169">
        <f>'3. 5기 수입지출장부'!F219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수입지출장부'!D220</f>
        <v>400000</v>
      </c>
      <c r="E29" s="162">
        <f>'3. 5기 수입지출장부'!E220</f>
        <v>0</v>
      </c>
      <c r="F29" s="163">
        <f>'3. 5기 수입지출장부'!F220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2026-10-20T11:09:48Z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