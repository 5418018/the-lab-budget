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B2D06C50-0DAF-4DB1-BDAD-8A3EF6E48E5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0" i="3" l="1"/>
  <c r="F14" i="4"/>
  <c r="G14" i="4"/>
  <c r="E14" i="4"/>
  <c r="G158" i="3"/>
  <c r="G159" i="3" s="1"/>
  <c r="G157" i="3"/>
  <c r="G156" i="3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<sst xmlns="http://schemas.openxmlformats.org/spreadsheetml/2006/main" count="1317" uniqueCount="412">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</sst>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206">
        <f>'3. 5기 수입지출장부'!E193</f>
        <v>800000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206">
        <f>'3. 5기 수입지출장부'!E194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31">
        <f>'3. 5기 수입지출장부'!E195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206">
        <f>'3. 5기 수입지출장부'!E196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248">
        <f>'3. 5기 수입지출장부'!E197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206">
        <f>'3. 5기 수입지출장부'!E198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16">
        <f>'3. 5기 수입지출장부'!E199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206">
        <f>'3. 5기 수입지출장부'!E200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0.86487777777777775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206">
        <f>'3. 5기 수입지출장부'!E202</f>
        <v>3113560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206">
        <f>'3. 5기 수입지출장부'!E203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206">
        <f>'3. 5기 수입지출장부'!E204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206">
        <f>'3. 5기 수입지출장부'!E205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206">
        <f>'3. 5기 수입지출장부'!E206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206">
        <f>'3. 5기 수입지출장부'!E207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206">
        <f>'3. 5기 수입지출장부'!E208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198">
        <f>'3. 5기 수입지출장부'!E209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198">
        <f>'3. 5기 수입지출장부'!E210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198">
        <f>'3. 5기 수입지출장부'!E211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0.18209762469525623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7848060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4" workbookViewId="0">
      <selection activeCell="C139" sqref="C139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15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15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15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15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15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15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15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15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15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15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15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15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15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15" ht="16.5" customHeight="1">
      <c r="A158" s="138">
        <v>46294</v>
      </c>
      <c r="B158" s="79" t="s">
        <v>48</v>
      </c>
      <c r="C158" s="139" t="s">
        <v>59</v>
      </c>
      <c r="D158" s="86"/>
      <c r="E158" s="86">
        <v>24500</v>
      </c>
      <c r="F158" s="86"/>
      <c r="G158" s="82">
        <f>G157+Table_1[[#This Row],[수입]]-Table_1[[#This Row],[지출]]</f>
        <v>30470391</v>
      </c>
      <c r="H158" s="87" t="s">
        <v>408</v>
      </c>
      <c r="I158" s="138">
        <v>46294</v>
      </c>
      <c r="J158" s="139" t="s">
        <v>41</v>
      </c>
      <c r="K158" s="139" t="s">
        <v>42</v>
      </c>
      <c r="L158" s="88"/>
      <c r="M158" s="89"/>
      <c r="N158" s="77"/>
      <c r="O158" s="94"/>
    </row>
    <row r="159" spans="1:15" ht="16.5" customHeight="1">
      <c r="A159" s="138">
        <v>46294</v>
      </c>
      <c r="B159" s="79" t="s">
        <v>48</v>
      </c>
      <c r="C159" s="139" t="s">
        <v>59</v>
      </c>
      <c r="D159" s="86"/>
      <c r="E159" s="86">
        <v>14100</v>
      </c>
      <c r="F159" s="86"/>
      <c r="G159" s="82">
        <f>G158+Table_1[[#This Row],[수입]]-Table_1[[#This Row],[지출]]</f>
        <v>30456291</v>
      </c>
      <c r="H159" s="87" t="s">
        <v>409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15" ht="16.5" customHeight="1">
      <c r="A160" s="138">
        <v>46295</v>
      </c>
      <c r="B160" s="79" t="s">
        <v>4</v>
      </c>
      <c r="C160" s="79" t="s">
        <v>17</v>
      </c>
      <c r="D160" s="86">
        <v>1880000</v>
      </c>
      <c r="E160" s="86"/>
      <c r="F160" s="86"/>
      <c r="G160" s="82">
        <f>G159+Table_1[[#This Row],[수입]]-Table_1[[#This Row],[지출]]</f>
        <v>32336291</v>
      </c>
      <c r="H160" s="149" t="s">
        <v>199</v>
      </c>
      <c r="I160" s="138">
        <v>46295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15" ht="16.5" customHeight="1">
      <c r="A161" s="118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8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8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8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8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178" t="s">
        <v>48</v>
      </c>
      <c r="B178" s="178" t="s">
        <v>219</v>
      </c>
      <c r="C178" s="178" t="s">
        <v>238</v>
      </c>
      <c r="D178" s="178" t="s">
        <v>222</v>
      </c>
      <c r="E178" s="178" t="s">
        <v>55</v>
      </c>
      <c r="F178" s="178" t="s">
        <v>239</v>
      </c>
      <c r="G178" s="178" t="s">
        <v>4</v>
      </c>
      <c r="H178" s="178" t="s">
        <v>19</v>
      </c>
      <c r="J178" s="120" t="s">
        <v>240</v>
      </c>
      <c r="K178" s="120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0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6" t="s">
        <v>264</v>
      </c>
      <c r="F192" s="96"/>
      <c r="G192" s="96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8">
        <f t="shared" ref="F193:F211" si="0">D193-E193</f>
        <v>2500000</v>
      </c>
      <c r="G193" s="180"/>
      <c r="L193" s="76"/>
      <c r="N193" s="77"/>
    </row>
    <row r="194" spans="1:14" ht="16.5" customHeight="1">
      <c r="A194" s="256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8">
        <f t="shared" si="0"/>
        <v>1927800</v>
      </c>
      <c r="G194" s="180"/>
      <c r="L194" s="76"/>
      <c r="N194" s="77"/>
    </row>
    <row r="195" spans="1:14" ht="16.5" customHeight="1">
      <c r="A195" s="259"/>
      <c r="B195" s="258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8">
        <f t="shared" si="0"/>
        <v>374000</v>
      </c>
      <c r="G195" s="180"/>
      <c r="L195" s="76"/>
      <c r="N195" s="77"/>
    </row>
    <row r="196" spans="1:14" ht="16.5" customHeight="1">
      <c r="A196" s="259"/>
      <c r="B196" s="259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8">
        <f t="shared" si="0"/>
        <v>1000000</v>
      </c>
      <c r="G196" s="180"/>
      <c r="L196" s="76"/>
      <c r="N196" s="77"/>
    </row>
    <row r="197" spans="1:14" ht="16.5" customHeight="1">
      <c r="A197" s="259"/>
      <c r="B197" s="259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8">
        <f t="shared" si="0"/>
        <v>24000</v>
      </c>
      <c r="G197" s="180"/>
      <c r="L197" s="76"/>
      <c r="N197" s="77"/>
    </row>
    <row r="198" spans="1:14" ht="16.5" customHeight="1">
      <c r="A198" s="259"/>
      <c r="B198" s="259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8">
        <f t="shared" si="0"/>
        <v>65000</v>
      </c>
      <c r="G198" s="180"/>
      <c r="L198" s="76"/>
      <c r="N198" s="77"/>
    </row>
    <row r="199" spans="1:14" ht="16.5" customHeight="1">
      <c r="A199" s="259"/>
      <c r="B199" s="259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8">
        <f t="shared" si="0"/>
        <v>200000</v>
      </c>
      <c r="G199" s="180"/>
      <c r="L199" s="76"/>
      <c r="N199" s="77"/>
    </row>
    <row r="200" spans="1:14" ht="16.5" customHeight="1">
      <c r="A200" s="259"/>
      <c r="B200" s="209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09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8">
        <f t="shared" si="0"/>
        <v>0</v>
      </c>
      <c r="G201" s="180"/>
      <c r="L201" s="76"/>
      <c r="N201" s="77"/>
    </row>
    <row r="202" spans="1:14" ht="16.5" customHeight="1">
      <c r="A202" s="256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3113560</v>
      </c>
      <c r="F202" s="268">
        <f t="shared" si="0"/>
        <v>486440</v>
      </c>
      <c r="G202" s="180"/>
      <c r="L202" s="76"/>
      <c r="N202" s="77"/>
    </row>
    <row r="203" spans="1:14" ht="16.5" customHeight="1">
      <c r="A203" s="259"/>
      <c r="B203" s="258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8">
        <f t="shared" si="0"/>
        <v>4877500</v>
      </c>
      <c r="G203" s="180"/>
      <c r="L203" s="76"/>
      <c r="N203" s="77"/>
    </row>
    <row r="204" spans="1:14" ht="16.5" customHeight="1">
      <c r="A204" s="259"/>
      <c r="B204" s="259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8">
        <f t="shared" si="0"/>
        <v>300000</v>
      </c>
      <c r="G204" s="180"/>
      <c r="L204" s="76"/>
      <c r="N204" s="77"/>
    </row>
    <row r="205" spans="1:14" ht="16.5" customHeight="1">
      <c r="A205" s="259"/>
      <c r="B205" s="259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8">
        <f t="shared" si="0"/>
        <v>4000000</v>
      </c>
      <c r="G205" s="180"/>
      <c r="L205" s="76"/>
      <c r="N205" s="77"/>
    </row>
    <row r="206" spans="1:14" ht="16.5" customHeight="1">
      <c r="A206" s="259"/>
      <c r="B206" s="259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8">
        <f t="shared" si="0"/>
        <v>2300000</v>
      </c>
      <c r="G206" s="180"/>
      <c r="L206" s="76"/>
      <c r="N206" s="77"/>
    </row>
    <row r="207" spans="1:14" ht="16.5" customHeight="1">
      <c r="A207" s="259"/>
      <c r="B207" s="209"/>
      <c r="C207" s="35" t="s">
        <v>256</v>
      </c>
      <c r="D207" s="59"/>
      <c r="E207" s="75">
        <f>SUMIF(Table_1[내용 및 목적],"후원회원행사비",Table_1[지출])</f>
        <v>0</v>
      </c>
      <c r="F207" s="268">
        <f t="shared" si="0"/>
        <v>0</v>
      </c>
      <c r="G207" s="180"/>
      <c r="L207" s="76"/>
      <c r="N207" s="77"/>
    </row>
    <row r="208" spans="1:14" ht="16.5" customHeight="1">
      <c r="A208" s="259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8">
        <f t="shared" si="0"/>
        <v>600000</v>
      </c>
      <c r="G208" s="180"/>
      <c r="L208" s="76"/>
      <c r="N208" s="77"/>
    </row>
    <row r="209" spans="1:14" ht="16.5" customHeight="1">
      <c r="A209" s="259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59"/>
      <c r="B210" s="258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8">
        <f t="shared" si="0"/>
        <v>500000</v>
      </c>
      <c r="G210" s="180"/>
      <c r="L210" s="76"/>
      <c r="N210" s="77"/>
    </row>
    <row r="211" spans="1:14" ht="16.5" customHeight="1">
      <c r="A211" s="209"/>
      <c r="B211" s="209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8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52:O54"/>
    <mergeCell ref="F197:G197"/>
    <mergeCell ref="F203:G203"/>
    <mergeCell ref="F204:G204"/>
    <mergeCell ref="A194:A201"/>
    <mergeCell ref="F201:G201"/>
    <mergeCell ref="F210:G210"/>
    <mergeCell ref="F200:G200"/>
    <mergeCell ref="F207:G207"/>
    <mergeCell ref="B195:B200"/>
    <mergeCell ref="F206:G206"/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</mergeCells>
  <phoneticPr fontId="33" type="noConversion"/>
  <dataValidations count="4">
    <dataValidation type="list" allowBlank="1" showErrorMessage="1" sqref="C5:C107 C141 C147 C160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9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수입지출장부'!$D$5:$D$2004,'3. 5기 수입지출장부'!$C$5:$C$2004,"재정사업")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수입지출장부'!$D$5:$D$2004,'3. 5기 수입지출장부'!$C$5:$C$2004,"이자수입")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수입지출장부'!E193:E211)</f>
        <v>7848060</v>
      </c>
      <c r="E5" s="277"/>
      <c r="F5" s="282">
        <f>LOOKUP(9.99E+307,Table_1[잔액])</f>
        <v>32336291</v>
      </c>
      <c r="G5" s="277"/>
      <c r="I5" s="276">
        <f>D5/B5</f>
        <v>0.18209762469525623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수입지출장부'!D193</f>
        <v>3300000</v>
      </c>
      <c r="E11" s="162">
        <f>'3. 5기 수입지출장부'!E193</f>
        <v>800000</v>
      </c>
      <c r="F11" s="163">
        <f>'3. 5기 수입지출장부'!F193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수입지출장부'!D194</f>
        <v>1927800</v>
      </c>
      <c r="E12" s="168">
        <f>'3. 5기 수입지출장부'!E194</f>
        <v>0</v>
      </c>
      <c r="F12" s="169">
        <f>'3. 5기 수입지출장부'!F194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수입지출장부'!D195</f>
        <v>540000</v>
      </c>
      <c r="E13" s="162">
        <f>'3. 5기 수입지출장부'!E195</f>
        <v>166000</v>
      </c>
      <c r="F13" s="163">
        <f>'3. 5기 수입지출장부'!F195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수입지출장부'!D196</f>
        <v>1000000</v>
      </c>
      <c r="E14" s="168">
        <f>'3. 5기 수입지출장부'!E196</f>
        <v>0</v>
      </c>
      <c r="F14" s="169">
        <f>'3. 5기 수입지출장부'!F196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수입지출장부'!D197</f>
        <v>400000</v>
      </c>
      <c r="E15" s="162">
        <f>'3. 5기 수입지출장부'!E197</f>
        <v>376000</v>
      </c>
      <c r="F15" s="163">
        <f>'3. 5기 수입지출장부'!F197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수입지출장부'!D198</f>
        <v>200000</v>
      </c>
      <c r="E16" s="168">
        <f>'3. 5기 수입지출장부'!E198</f>
        <v>135000</v>
      </c>
      <c r="F16" s="169">
        <f>'3. 5기 수입지출장부'!F198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수입지출장부'!D199</f>
        <v>200000</v>
      </c>
      <c r="E17" s="162">
        <f>'3. 5기 수입지출장부'!E199</f>
        <v>0</v>
      </c>
      <c r="F17" s="163">
        <f>'3. 5기 수입지출장부'!F199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수입지출장부'!D200</f>
        <v>200000</v>
      </c>
      <c r="E18" s="168">
        <f>'3. 5기 수입지출장부'!E200</f>
        <v>135000</v>
      </c>
      <c r="F18" s="169">
        <f>'3. 5기 수입지출장부'!F200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수입지출장부'!D201</f>
        <v>0</v>
      </c>
      <c r="E19" s="162">
        <f>'3. 5기 수입지출장부'!E201</f>
        <v>0</v>
      </c>
      <c r="F19" s="163">
        <f>'3. 5기 수입지출장부'!F201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수입지출장부'!D202</f>
        <v>3600000</v>
      </c>
      <c r="E20" s="168">
        <f>'3. 5기 수입지출장부'!E202</f>
        <v>3113560</v>
      </c>
      <c r="F20" s="169">
        <f>'3. 5기 수입지출장부'!F202</f>
        <v>486440</v>
      </c>
      <c r="G20" s="170">
        <f t="shared" si="0"/>
        <v>0.86487777777777775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수입지출장부'!D203</f>
        <v>8000000</v>
      </c>
      <c r="E21" s="162">
        <f>'3. 5기 수입지출장부'!E203</f>
        <v>3122500</v>
      </c>
      <c r="F21" s="163">
        <f>'3. 5기 수입지출장부'!F203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수입지출장부'!D204</f>
        <v>300000</v>
      </c>
      <c r="E22" s="168">
        <f>'3. 5기 수입지출장부'!E204</f>
        <v>0</v>
      </c>
      <c r="F22" s="169">
        <f>'3. 5기 수입지출장부'!F204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수입지출장부'!D205</f>
        <v>4000000</v>
      </c>
      <c r="E23" s="162">
        <f>'3. 5기 수입지출장부'!E205</f>
        <v>0</v>
      </c>
      <c r="F23" s="163">
        <f>'3. 5기 수입지출장부'!F205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수입지출장부'!D206</f>
        <v>2300000</v>
      </c>
      <c r="E24" s="168">
        <f>'3. 5기 수입지출장부'!E206</f>
        <v>0</v>
      </c>
      <c r="F24" s="169">
        <f>'3. 5기 수입지출장부'!F206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수입지출장부'!D207</f>
        <v>0</v>
      </c>
      <c r="E25" s="162">
        <f>'3. 5기 수입지출장부'!E207</f>
        <v>0</v>
      </c>
      <c r="F25" s="163">
        <f>'3. 5기 수입지출장부'!F207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수입지출장부'!D208</f>
        <v>600000</v>
      </c>
      <c r="E26" s="168">
        <f>'3. 5기 수입지출장부'!E208</f>
        <v>0</v>
      </c>
      <c r="F26" s="169">
        <f>'3. 5기 수입지출장부'!F208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수입지출장부'!D209</f>
        <v>300000</v>
      </c>
      <c r="E27" s="162">
        <f>'3. 5기 수입지출장부'!E209</f>
        <v>0</v>
      </c>
      <c r="F27" s="163">
        <f>'3. 5기 수입지출장부'!F209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수입지출장부'!D210</f>
        <v>500000</v>
      </c>
      <c r="E28" s="168">
        <f>'3. 5기 수입지출장부'!E210</f>
        <v>0</v>
      </c>
      <c r="F28" s="169">
        <f>'3. 5기 수입지출장부'!F210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수입지출장부'!D211</f>
        <v>400000</v>
      </c>
      <c r="E29" s="162">
        <f>'3. 5기 수입지출장부'!E211</f>
        <v>0</v>
      </c>
      <c r="F29" s="163">
        <f>'3. 5기 수입지출장부'!F211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2026-09-29T09:23:23Z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