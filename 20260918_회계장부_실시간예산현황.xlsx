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F882429B-3B94-426B-90BF-8182306EBF2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수입지출장부'!$F$195:$F$198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3" l="1"/>
  <c r="G8" i="3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G181" i="3" s="1"/>
  <c r="G182" i="3" s="1"/>
  <c r="G183" i="3" s="1"/>
  <c r="G184" i="3" s="1"/>
  <c r="G185" i="3" s="1"/>
  <c r="G186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27" i="3"/>
  <c r="D227" i="3"/>
  <c r="E226" i="3"/>
  <c r="E225" i="3"/>
  <c r="E224" i="3"/>
  <c r="E223" i="3"/>
  <c r="E222" i="3"/>
  <c r="D222" i="3"/>
  <c r="E221" i="3"/>
  <c r="D221" i="3"/>
  <c r="E220" i="3"/>
  <c r="E219" i="3"/>
  <c r="E218" i="3"/>
  <c r="D218" i="3"/>
  <c r="E217" i="3"/>
  <c r="E216" i="3"/>
  <c r="E215" i="3"/>
  <c r="E214" i="3"/>
  <c r="D214" i="3"/>
  <c r="E213" i="3"/>
  <c r="D213" i="3"/>
  <c r="E212" i="3"/>
  <c r="E211" i="3"/>
  <c r="D211" i="3"/>
  <c r="E210" i="3"/>
  <c r="D210" i="3"/>
  <c r="E209" i="3"/>
  <c r="G5" i="3"/>
  <c r="G6" i="3" s="1"/>
  <c r="AA7" i="1" l="1"/>
  <c r="AB7" i="1"/>
  <c r="Y7" i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27" i="3"/>
  <c r="F29" i="5" s="1"/>
  <c r="D29" i="5"/>
  <c r="E28" i="5"/>
  <c r="G28" i="5" s="1"/>
  <c r="Q39" i="1"/>
  <c r="F226" i="3"/>
  <c r="F28" i="5" s="1"/>
  <c r="Q37" i="1"/>
  <c r="S36" i="1" s="1"/>
  <c r="F225" i="3"/>
  <c r="F27" i="5" s="1"/>
  <c r="E27" i="5"/>
  <c r="G27" i="5" s="1"/>
  <c r="Q35" i="1"/>
  <c r="S34" i="1" s="1"/>
  <c r="F224" i="3"/>
  <c r="F26" i="5" s="1"/>
  <c r="E26" i="5"/>
  <c r="G26" i="5" s="1"/>
  <c r="F223" i="3"/>
  <c r="F25" i="5" s="1"/>
  <c r="E25" i="5"/>
  <c r="G25" i="5" s="1"/>
  <c r="Q33" i="1"/>
  <c r="Q31" i="1"/>
  <c r="S30" i="1" s="1"/>
  <c r="E24" i="5"/>
  <c r="F222" i="3"/>
  <c r="F24" i="5" s="1"/>
  <c r="D24" i="5"/>
  <c r="Q29" i="1"/>
  <c r="S28" i="1" s="1"/>
  <c r="E23" i="5"/>
  <c r="F221" i="3"/>
  <c r="F23" i="5" s="1"/>
  <c r="D23" i="5"/>
  <c r="E22" i="5"/>
  <c r="G22" i="5" s="1"/>
  <c r="F220" i="3"/>
  <c r="F22" i="5" s="1"/>
  <c r="Q27" i="1"/>
  <c r="S26" i="1" s="1"/>
  <c r="Q25" i="1"/>
  <c r="S24" i="1" s="1"/>
  <c r="F219" i="3"/>
  <c r="F21" i="5" s="1"/>
  <c r="E21" i="5"/>
  <c r="G21" i="5" s="1"/>
  <c r="E20" i="5"/>
  <c r="Q23" i="1"/>
  <c r="F218" i="3"/>
  <c r="F20" i="5" s="1"/>
  <c r="D20" i="5"/>
  <c r="F217" i="3"/>
  <c r="F19" i="5" s="1"/>
  <c r="E19" i="5"/>
  <c r="G19" i="5" s="1"/>
  <c r="F216" i="3"/>
  <c r="F18" i="5" s="1"/>
  <c r="Q21" i="1"/>
  <c r="S20" i="1" s="1"/>
  <c r="E18" i="5"/>
  <c r="G18" i="5" s="1"/>
  <c r="Q19" i="1"/>
  <c r="S18" i="1" s="1"/>
  <c r="F215" i="3"/>
  <c r="F17" i="5" s="1"/>
  <c r="E17" i="5"/>
  <c r="G17" i="5" s="1"/>
  <c r="E16" i="5"/>
  <c r="Q17" i="1"/>
  <c r="S16" i="1" s="1"/>
  <c r="D16" i="5"/>
  <c r="F214" i="3"/>
  <c r="F16" i="5" s="1"/>
  <c r="Q15" i="1"/>
  <c r="S14" i="1" s="1"/>
  <c r="E15" i="5"/>
  <c r="D15" i="5"/>
  <c r="F213" i="3"/>
  <c r="F15" i="5" s="1"/>
  <c r="F212" i="3"/>
  <c r="F14" i="5" s="1"/>
  <c r="E14" i="5"/>
  <c r="G14" i="5" s="1"/>
  <c r="Q13" i="1"/>
  <c r="S12" i="1" s="1"/>
  <c r="E13" i="5"/>
  <c r="Q11" i="1"/>
  <c r="S10" i="1" s="1"/>
  <c r="D13" i="5"/>
  <c r="F211" i="3"/>
  <c r="F13" i="5" s="1"/>
  <c r="Q9" i="1"/>
  <c r="E12" i="5"/>
  <c r="D12" i="5"/>
  <c r="F210" i="3"/>
  <c r="F12" i="5" s="1"/>
  <c r="E11" i="5"/>
  <c r="G11" i="5" s="1"/>
  <c r="Q7" i="1"/>
  <c r="F209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  <comment ref="H180" authorId="0" shapeId="0" xr:uid="{7759A415-D53E-493A-9108-380C2F150C1B}">
      <text>
        <r>
          <rPr>
            <b/>
            <sz val="9"/>
            <color indexed="81"/>
            <rFont val="돋움"/>
            <family val="3"/>
            <charset val="129"/>
          </rPr>
          <t>후원회원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늦게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인지하여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늦게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표함
</t>
        </r>
        <r>
          <rPr>
            <b/>
            <sz val="9"/>
            <color indexed="81"/>
            <rFont val="Tahoma"/>
            <family val="2"/>
          </rPr>
          <t>10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14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임종</t>
        </r>
        <r>
          <rPr>
            <b/>
            <sz val="9"/>
            <color indexed="81"/>
            <rFont val="Tahoma"/>
            <family val="2"/>
          </rPr>
          <t>, 15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입관</t>
        </r>
        <r>
          <rPr>
            <b/>
            <sz val="9"/>
            <color indexed="81"/>
            <rFont val="Tahoma"/>
            <family val="2"/>
          </rPr>
          <t>, 16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발인</t>
        </r>
      </text>
    </comment>
  </commentList>
</comments>
</file>

<file path=xl/sharedStrings.xml><?xml version="1.0" encoding="utf-8"?>
<sst xmlns="http://schemas.openxmlformats.org/spreadsheetml/2006/main" count="1447" uniqueCount="433">
  <si>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</si>
  <si>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</si>
  <si>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</si>
  <si>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</si>
  <si>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</si>
  <si>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</si>
  <si>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</si>
  <si>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</si>
  <si>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</si>
  <si>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</si>
  <si>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</si>
  <si>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</si>
  <si>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</si>
  <si>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</si>
  <si>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</si>
  <si>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</si>
  <si>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</si>
  <si>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</si>
  <si>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</si>
  <si>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</si>
  <si>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</si>
  <si>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</si>
  <si>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</si>
  <si>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</si>
  <si>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</si>
  <si>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</si>
  <si>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</si>
  <si>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</si>
  <si>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</si>
  <si>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</si>
  <si>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</si>
  <si>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</si>
  <si>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</si>
  <si>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</si>
  <si>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</si>
  <si>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</si>
  <si>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</si>
  <si>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</si>
  <si>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</si>
  <si>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</si>
  <si>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</si>
  <si>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</si>
  <si>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</si>
  <si>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</si>
  <si>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</si>
  <si>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</si>
  <si>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</si>
  <si>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</si>
  <si>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</si>
  <si>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</si>
  <si>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</si>
  <si>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</si>
  <si>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</si>
  <si>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</si>
  <si>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</si>
  <si>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</si>
  <si>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</si>
  <si>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</si>
  <si>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</si>
  <si>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</si>
  <si>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</si>
  <si>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</si>
  <si>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</si>
  <si>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</si>
  <si>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</si>
  <si>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</si>
  <si>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</si>
  <si>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</si>
  <si>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</si>
  <si>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</si>
  <si>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</si>
  <si>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</si>
  <si>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</si>
  <si>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</si>
  <si>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</si>
  <si>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</si>
  <si>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</si>
  <si>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</si>
  <si>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</si>
  <si>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</si>
  <si>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</si>
  <si>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</si>
  <si>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</si>
  <si>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</si>
  <si>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</si>
  <si>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</si>
  <si>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</si>
  <si>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</si>
  <si>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</si>
  <si>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</si>
  <si>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</si>
  <si>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</si>
  <si>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</si>
  <si>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</si>
  <si>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</si>
  <si>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</si>
  <si>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</si>
  <si>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</si>
  <si>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</si>
  <si>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</si>
  <si>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</si>
  <si>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</si>
  <si>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</si>
  <si>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</si>
  <si>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</si>
  <si>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</si>
  <si>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</si>
  <si>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</si>
  <si>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</si>
  <si>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</si>
  <si>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</si>
  <si>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</si>
  <si>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</si>
  <si>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</si>
  <si>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</si>
  <si>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</si>
  <si>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</si>
  <si>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</si>
  <si>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</si>
  <si>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</si>
  <si>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</si>
  <si>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</si>
  <si>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</si>
  <si>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</si>
  <si>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</si>
  <si>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</si>
  <si>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</si>
  <si>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</si>
  <si>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</si>
  <si>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</si>
  <si>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</si>
  <si>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</si>
  <si>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</si>
  <si>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</si>
  <si>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</si>
  <si>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</si>
  <si>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</si>
  <si>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</si>
  <si>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</si>
  <si>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</si>
  <si>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</si>
  <si>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</si>
  <si>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</si>
  <si>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</si>
  <si>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</si>
  <si>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</si>
  <si>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</si>
  <si>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</si>
  <si>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</si>
  <si>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</si>
  <si>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</si>
  <si>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</si>
  <si>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</si>
  <si>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</si>
  <si>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</si>
  <si>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</si>
  <si>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</si>
  <si>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</si>
  <si>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</si>
  <si>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</si>
  <si>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</si>
  <si>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</si>
  <si>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</si>
  <si>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</si>
  <si>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</si>
  <si>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</si>
  <si>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</si>
  <si>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</si>
  <si>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</si>
  <si>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</si>
  <si>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</si>
  <si>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</si>
  <si>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</si>
  <si>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</si>
  <si>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</si>
  <si>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</si>
  <si>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</si>
  <si>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</si>
  <si>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</si>
  <si>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</si>
  <si>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</si>
  <si>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</si>
  <si>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</si>
  <si>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</si>
  <si>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</si>
  <si>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</si>
  <si>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</si>
  <si>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</si>
  <si>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</si>
  <si>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</si>
  <si>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</si>
  <si>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</si>
  <si>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</si>
  <si>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</si>
  <si>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</si>
  <si>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</si>
  <si>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</si>
  <si>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</si>
  <si>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</si>
  <si>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</si>
  <si>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</si>
  <si>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</si>
  <si>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</si>
  <si>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</si>
  <si>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</si>
  <si>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</si>
  <si>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</si>
  <si>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</si>
  <si>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</si>
  <si>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</si>
  <si>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</si>
  <si>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</si>
  <si>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</si>
  <si>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</si>
  <si>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</si>
  <si>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</si>
  <si>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</si>
  <si>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</si>
  <si>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</si>
  <si>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</si>
  <si>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</si>
  <si>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</si>
  <si>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</si>
  <si>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</si>
  <si>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</si>
  <si>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</si>
  <si>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</si>
  <si>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</si>
  <si>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</si>
  <si>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</si>
  <si>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</si>
  <si>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</si>
  <si>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</si>
  <si>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</si>
  <si>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</si>
  <si>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</si>
  <si>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</si>
  <si>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</si>
  <si>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</si>
  <si>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</si>
  <si>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</si>
  <si>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</si>
  <si>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</si>
  <si>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</si>
  <si>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</si>
  <si>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</si>
  <si>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</si>
  <si>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</si>
  <si>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</si>
  <si>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</si>
  <si>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</si>
  <si>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</si>
  <si>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</si>
  <si>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</si>
  <si>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</si>
  <si>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</si>
  <si>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</si>
  <si>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</si>
  <si>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</si>
  <si>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</si>
  <si>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</si>
  <si>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</si>
  <si>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</si>
  <si>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</si>
  <si>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</si>
  <si>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</si>
  <si>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</si>
  <si>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</si>
  <si>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</si>
  <si>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</si>
  <si>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</si>
  <si>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</si>
  <si>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</si>
  <si>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</si>
  <si>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</si>
  <si>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</si>
  <si>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</si>
  <si>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</si>
  <si>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</si>
  <si>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</si>
  <si>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</si>
  <si>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</si>
  <si>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</si>
  <si>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</si>
  <si>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</si>
  <si>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</si>
  <si>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</si>
  <si>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</si>
  <si>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</si>
  <si>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</si>
  <si>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</si>
  <si>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</si>
  <si>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</si>
  <si>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</si>
  <si>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</si>
  <si>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</si>
  <si>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</si>
  <si>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</si>
  <si>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</si>
  <si>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</si>
  <si>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</si>
  <si>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</si>
  <si>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</si>
  <si>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</si>
  <si>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</si>
  <si>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</si>
  <si>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</si>
  <si>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</si>
  <si>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</si>
  <si>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</si>
  <si>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</si>
  <si>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</si>
  <si>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</si>
  <si>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</si>
  <si>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</si>
  <si>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</si>
  <si>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</si>
  <si>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</si>
  <si>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</si>
  <si>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</si>
  <si>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</si>
  <si>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</si>
  <si>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</si>
  <si>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</si>
  <si>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</si>
  <si>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</si>
  <si>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</si>
  <si>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</si>
  <si>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</si>
  <si>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</si>
  <si>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</si>
  <si>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</si>
  <si>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</si>
  <si>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</si>
  <si>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</si>
  <si>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</si>
  <si>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</si>
  <si>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</si>
  <si>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</si>
  <si>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</si>
  <si>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</si>
  <si>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</si>
  <si>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</si>
  <si>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</si>
  <si>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</si>
  <si>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</si>
  <si>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</si>
  <si>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</si>
  <si>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</si>
  <si>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</si>
  <si>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</si>
  <si>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</si>
  <si>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</si>
  <si>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</si>
  <si>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</si>
  <si>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</si>
  <si>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</si>
  <si>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</si>
  <si>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</si>
  <si>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</si>
  <si>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</si>
  <si>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</si>
  <si>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</si>
  <si>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</si>
  <si>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</si>
  <si>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</si>
  <si>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</si>
  <si>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</si>
  <si>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</si>
  <si>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</si>
  <si>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</si>
  <si>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</si>
  <si>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</si>
  <si>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</si>
  <si>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</si>
  <si>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</si>
  <si>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</si>
  <si>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</si>
  <si>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</si>
  <si>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</si>
  <si>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</si>
  <si>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</si>
  <si>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</si>
  <si>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</si>
  <si>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</si>
  <si>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</si>
  <si>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</si>
  <si>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</si>
  <si>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</si>
  <si>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</si>
  <si>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</si>
  <si>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</si>
  <si>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</si>
  <si>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</si>
  <si>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</si>
  <si>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</si>
  <si>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</si>
  <si>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</si>
  <si>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</si>
  <si>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</si>
  <si>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</si>
  <si>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</si>
  <si>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</si>
  <si>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</si>
  <si>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</si>
  <si>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</si>
  <si>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</si>
  <si>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</si>
  <si>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</si>
  <si>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</si>
  <si>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</si>
  <si>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</si>
  <si>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</si>
  <si>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</si>
  <si>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</si>
  <si>
    <t>조직사업 (박보규 외 6명)</t>
    <phoneticPr fontId="33" type="noConversion"/>
  </si>
  <si>
    <t>박태순 빙부상 (조의금)</t>
    <phoneticPr fontId="33" type="noConversion"/>
  </si>
  <si>
    <t>박태순 빙부상 (조화)</t>
    <phoneticPr fontId="33" type="noConversion"/>
  </si>
  <si>
    <t>박태순</t>
    <phoneticPr fontId="33" type="noConversion"/>
  </si>
  <si>
    <t>조직원 티타임 (김성복 외 4명)</t>
    <phoneticPr fontId="33" type="noConversion"/>
  </si>
  <si>
    <t>조직원 티타임 (홍성민 외1명)</t>
    <phoneticPr fontId="33" type="noConversion"/>
  </si>
  <si>
    <t>조직원 티타임 (홍성민 외15명)</t>
    <phoneticPr fontId="33" type="noConversion"/>
  </si>
  <si>
    <t>조직사업 (김성복 외 3명)</t>
    <phoneticPr fontId="33" type="noConversion"/>
  </si>
  <si>
    <t>의장단 티타임 (김성복 외2명)</t>
    <phoneticPr fontId="33" type="noConversion"/>
  </si>
  <si>
    <t>조직사업 (박보규 외 10명)</t>
    <phoneticPr fontId="33" type="noConversion"/>
  </si>
  <si>
    <t>조직원 티타임 (박보규 외1명)</t>
    <phoneticPr fontId="33" type="noConversion"/>
  </si>
  <si>
    <t>김광태 후원회원(농협은행 20707052069126 김광태)</t>
    <phoneticPr fontId="33" type="noConversion"/>
  </si>
  <si>
    <t>김광태</t>
    <phoneticPr fontId="33" type="noConversion"/>
  </si>
  <si>
    <t>농협</t>
    <phoneticPr fontId="33" type="noConversion"/>
  </si>
  <si>
    <t>의장단 티타임 (김성복 외5명)</t>
    <phoneticPr fontId="33" type="noConversion"/>
  </si>
  <si>
    <t>조직원 저녁식사 (김성복 외 4명)</t>
    <phoneticPr fontId="33" type="noConversion"/>
  </si>
  <si>
    <t>조직의장단 회의 (홍성민 외3명)</t>
    <phoneticPr fontId="33" type="noConversion"/>
  </si>
  <si>
    <t>조직사업 (홍성민 외 7명)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</si>
</sst>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yyyy\-mm\-dd"/>
    <numFmt numFmtId="181" formatCode="_-* #,##0.0_-;\-* #,##0.0_-;_-* &quot;-&quot;?_-;_-@_-"/>
    <numFmt numFmtId="182" formatCode="#,##0&quot;원&quot;"/>
    <numFmt numFmtId="183" formatCode="0.0%"/>
  </numFmts>
  <fonts count="47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2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1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3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3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7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10" fontId="5" fillId="0" borderId="48" xfId="0" applyNumberFormat="1" applyFont="1" applyAlignment="1">
      <alignment horizontal="center" vertical="center" wrapText="1"/>
    </xf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29" xfId="0" applyNumberFormat="1" applyFont="1" applyBorder="1" applyAlignment="1">
      <alignment horizontal="center" vertical="center"/>
    </xf>
    <xf numFmtId="0" fontId="0" fillId="0" borderId="29" xfId="0" applyBorder="1"/>
    <xf numFmtId="0" fontId="8" fillId="0" borderId="48" xfId="0" applyFont="1" applyAlignment="1">
      <alignment horizontal="center" vertical="center" wrapText="1"/>
    </xf>
    <xf numFmtId="0" fontId="5" fillId="0" borderId="48" xfId="0" applyFont="1" applyAlignment="1">
      <alignment horizontal="center" vertical="center" wrapText="1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49" fontId="1" fillId="0" borderId="64" xfId="0" applyNumberFormat="1" applyFont="1" applyBorder="1" applyAlignment="1">
      <alignment horizontal="center" vertical="center"/>
    </xf>
    <xf numFmtId="0" fontId="0" fillId="0" borderId="20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2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0" fontId="1" fillId="0" borderId="57" xfId="0" applyFont="1" applyBorder="1" applyAlignment="1">
      <alignment horizontal="center" vertical="center"/>
    </xf>
    <xf numFmtId="49" fontId="1" fillId="0" borderId="59" xfId="0" applyNumberFormat="1" applyFont="1" applyBorder="1" applyAlignment="1">
      <alignment horizontal="center" vertical="center"/>
    </xf>
    <xf numFmtId="3" fontId="3" fillId="0" borderId="60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49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10" fontId="1" fillId="0" borderId="64" xfId="0" applyNumberFormat="1" applyFont="1" applyBorder="1" applyAlignment="1">
      <alignment horizontal="center" vertical="center"/>
    </xf>
    <xf numFmtId="10" fontId="1" fillId="0" borderId="63" xfId="0" applyNumberFormat="1" applyFont="1" applyBorder="1" applyAlignment="1">
      <alignment horizontal="center" vertical="center"/>
    </xf>
    <xf numFmtId="3" fontId="3" fillId="0" borderId="61" xfId="0" applyNumberFormat="1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49" fontId="1" fillId="0" borderId="70" xfId="0" applyNumberFormat="1" applyFont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0" fillId="0" borderId="42" xfId="0" applyBorder="1"/>
    <xf numFmtId="0" fontId="16" fillId="2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9" fillId="6" borderId="15" xfId="0" applyFont="1" applyFill="1" applyBorder="1" applyAlignment="1">
      <alignment horizontal="center" vertical="center"/>
    </xf>
    <xf numFmtId="0" fontId="0" fillId="0" borderId="49" xfId="0" applyBorder="1"/>
    <xf numFmtId="0" fontId="19" fillId="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179" fontId="12" fillId="0" borderId="48" xfId="0" applyNumberFormat="1" applyFont="1" applyAlignment="1">
      <alignment horizontal="center" vertical="center"/>
    </xf>
    <xf numFmtId="0" fontId="12" fillId="9" borderId="48" xfId="0" applyFont="1" applyFill="1" applyAlignment="1">
      <alignment horizontal="center" vertical="center" wrapText="1"/>
    </xf>
    <xf numFmtId="0" fontId="26" fillId="10" borderId="41" xfId="0" applyFont="1" applyFill="1" applyBorder="1" applyAlignment="1">
      <alignment horizontal="center" vertical="center"/>
    </xf>
    <xf numFmtId="0" fontId="39" fillId="0" borderId="0" xfId="0" applyFont="1" applyBorder="1"/>
    <xf numFmtId="0" fontId="37" fillId="0" borderId="0" xfId="0" applyFont="1" applyBorder="1" applyAlignment="1">
      <alignment horizontal="left" vertical="center"/>
    </xf>
    <xf numFmtId="182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3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6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2" fontId="38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92">
  <autoFilter ref="A4:N192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94:A206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94:B197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94:C196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94:D196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94:E198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94:F197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94:G201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94:H197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6" customWidth="1"/>
    <col min="2" max="2" width="3.28515625" style="156" customWidth="1"/>
    <col min="3" max="3" width="12.28515625" style="156" customWidth="1"/>
    <col min="4" max="4" width="6.28515625" style="156" customWidth="1"/>
    <col min="5" max="7" width="4" style="156" customWidth="1"/>
    <col min="8" max="16" width="3.5703125" style="156" customWidth="1"/>
    <col min="17" max="17" width="8.42578125" style="156" customWidth="1"/>
    <col min="18" max="18" width="1.85546875" style="156" customWidth="1"/>
    <col min="19" max="19" width="8.85546875" style="156" customWidth="1"/>
    <col min="20" max="20" width="13.7109375" style="156" customWidth="1"/>
    <col min="21" max="23" width="3.7109375" style="156" customWidth="1"/>
    <col min="24" max="28" width="13.28515625" style="156" customWidth="1"/>
    <col min="29" max="29" width="15.85546875" style="156" customWidth="1"/>
    <col min="30" max="39" width="4.28515625" style="156" customWidth="1"/>
    <col min="40" max="40" width="8.7109375" style="156" customWidth="1"/>
    <col min="41" max="41" width="13.85546875" style="156" customWidth="1"/>
    <col min="42" max="42" width="4.28515625" style="156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1" t="s">
        <v>276</v>
      </c>
      <c r="C4" s="211" t="s">
        <v>277</v>
      </c>
      <c r="D4" s="211"/>
      <c r="E4" s="240" t="s">
        <v>278</v>
      </c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2"/>
      <c r="Q4" s="243" t="s">
        <v>279</v>
      </c>
      <c r="R4" s="244"/>
      <c r="S4" s="180" t="s">
        <v>280</v>
      </c>
      <c r="T4" s="200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22"/>
      <c r="C5" s="212"/>
      <c r="D5" s="212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245"/>
      <c r="R5" s="246"/>
      <c r="S5" s="181"/>
      <c r="T5" s="201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203">
        <v>1</v>
      </c>
      <c r="C6" s="232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50">
        <f>'2. 5기_예산목간'!D24</f>
        <v>3300000</v>
      </c>
      <c r="R6" s="251"/>
      <c r="S6" s="249">
        <f>Q7/Q6</f>
        <v>0.42424242424242425</v>
      </c>
      <c r="T6" s="252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204"/>
      <c r="C7" s="208"/>
      <c r="D7" s="9" t="s">
        <v>280</v>
      </c>
      <c r="E7" s="9" t="str">
        <f>IF(COUNTIFS('3. 5기 수입지출장부'!$C$5:$C$2020,$C6,'3. 5기 수입지출장부'!$A$5:$A$2020,"&gt;="&amp;DATE(2026,E$5,1),'3. 5기 수입지출장부'!$A$5:$A$2020,"&lt;"&amp;DATE(2026,E$5+1,1),'3. 5기 수입지출장부'!$E$5:$E$2020,"&gt;0")&gt;0,"■","")</f>
        <v/>
      </c>
      <c r="F7" s="9" t="str">
        <f>IF(COUNTIFS('3. 5기 수입지출장부'!$C$5:$C$2020,$C6,'3. 5기 수입지출장부'!$A$5:$A$2020,"&gt;="&amp;DATE(2026,F$5,1),'3. 5기 수입지출장부'!$A$5:$A$2020,"&lt;"&amp;DATE(2026,F$5+1,1),'3. 5기 수입지출장부'!$E$5:$E$2020,"&gt;0")&gt;0,"■","")</f>
        <v/>
      </c>
      <c r="G7" s="9" t="str">
        <f>IF(COUNTIFS('3. 5기 수입지출장부'!$C$5:$C$2020,$C6,'3. 5기 수입지출장부'!$A$5:$A$2020,"&gt;="&amp;DATE(2026,G$5,1),'3. 5기 수입지출장부'!$A$5:$A$2020,"&lt;"&amp;DATE(2026,G$5+1,1),'3. 5기 수입지출장부'!$E$5:$E$2020,"&gt;0")&gt;0,"■","")</f>
        <v>■</v>
      </c>
      <c r="H7" s="9" t="str">
        <f>IF(COUNTIFS('3. 5기 수입지출장부'!$C$5:$C$2020,$C6,'3. 5기 수입지출장부'!$A$5:$A$2020,"&gt;="&amp;DATE(2026,H$5,1),'3. 5기 수입지출장부'!$A$5:$A$2020,"&lt;"&amp;DATE(2026,H$5+1,1),'3. 5기 수입지출장부'!$E$5:$E$2020,"&gt;0")&gt;0,"■","")</f>
        <v/>
      </c>
      <c r="I7" s="9" t="str">
        <f>IF(COUNTIFS('3. 5기 수입지출장부'!$C$5:$C$2020,$C6,'3. 5기 수입지출장부'!$A$5:$A$2020,"&gt;="&amp;DATE(2026,I$5,1),'3. 5기 수입지출장부'!$A$5:$A$2020,"&lt;"&amp;DATE(2026,I$5+1,1),'3. 5기 수입지출장부'!$E$5:$E$2020,"&gt;0")&gt;0,"■","")</f>
        <v/>
      </c>
      <c r="J7" s="9" t="str">
        <f>IF(COUNTIFS('3. 5기 수입지출장부'!$C$5:$C$2020,$C6,'3. 5기 수입지출장부'!$A$5:$A$2020,"&gt;="&amp;DATE(2026,J$5,1),'3. 5기 수입지출장부'!$A$5:$A$2020,"&lt;"&amp;DATE(2026,J$5+1,1),'3. 5기 수입지출장부'!$E$5:$E$2020,"&gt;0")&gt;0,"■","")</f>
        <v>■</v>
      </c>
      <c r="K7" s="9" t="str">
        <f>IF(COUNTIFS('3. 5기 수입지출장부'!$C$5:$C$2020,$C6,'3. 5기 수입지출장부'!$A$5:$A$2020,"&gt;="&amp;DATE(2026,K$5,1),'3. 5기 수입지출장부'!$A$5:$A$2020,"&lt;"&amp;DATE(2026,K$5+1,1),'3. 5기 수입지출장부'!$E$5:$E$2020,"&gt;0")&gt;0,"■","")</f>
        <v>■</v>
      </c>
      <c r="L7" s="9" t="str">
        <f>IF(COUNTIFS('3. 5기 수입지출장부'!$C$5:$C$2020,$C6,'3. 5기 수입지출장부'!$A$5:$A$2020,"&gt;="&amp;DATE(2026,L$5,1),'3. 5기 수입지출장부'!$A$5:$A$2020,"&lt;"&amp;DATE(2026,L$5+1,1),'3. 5기 수입지출장부'!$E$5:$E$2020,"&gt;0")&gt;0,"■","")</f>
        <v/>
      </c>
      <c r="M7" s="9" t="str">
        <f>IF(COUNTIFS('3. 5기 수입지출장부'!$C$5:$C$2020,$C6,'3. 5기 수입지출장부'!$A$5:$A$2020,"&gt;="&amp;DATE(2026,M$5,1),'3. 5기 수입지출장부'!$A$5:$A$2020,"&lt;"&amp;DATE(2026,M$5+1,1),'3. 5기 수입지출장부'!$E$5:$E$2020,"&gt;0")&gt;0,"■","")</f>
        <v/>
      </c>
      <c r="N7" s="9" t="str">
        <f>IF(COUNTIFS('3. 5기 수입지출장부'!$C$5:$C$2020,$C6,'3. 5기 수입지출장부'!$A$5:$A$2020,"&gt;="&amp;DATE(2026,N$5,1),'3. 5기 수입지출장부'!$A$5:$A$2020,"&lt;"&amp;DATE(2026,N$5+1,1),'3. 5기 수입지출장부'!$E$5:$E$2020,"&gt;0")&gt;0,"■","")</f>
        <v>■</v>
      </c>
      <c r="O7" s="9" t="str">
        <f>IF(COUNTIFS('3. 5기 수입지출장부'!$C$5:$C$2020,$C6,'3. 5기 수입지출장부'!$A$5:$A$2020,"&gt;="&amp;DATE(2026,O$5,1),'3. 5기 수입지출장부'!$A$5:$A$2020,"&lt;"&amp;DATE(2026,O$5+1,1),'3. 5기 수입지출장부'!$E$5:$E$2020,"&gt;0")&gt;0,"■","")</f>
        <v/>
      </c>
      <c r="P7" s="9" t="str">
        <f>IF(COUNTIFS('3. 5기 수입지출장부'!$C$5:$C$2020,$C6,'3. 5기 수입지출장부'!$A$5:$A$2020,"&gt;="&amp;DATE(2026,P$5,1),'3. 5기 수입지출장부'!$A$5:$A$2020,"&lt;"&amp;DATE(2026,P$5+1,1),'3. 5기 수입지출장부'!$E$5:$E$2020,"&gt;0")&gt;0,"■","")</f>
        <v/>
      </c>
      <c r="Q7" s="205">
        <f>'3. 5기 수입지출장부'!E209</f>
        <v>1400000</v>
      </c>
      <c r="R7" s="206"/>
      <c r="S7" s="195"/>
      <c r="T7" s="195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217">
        <v>2</v>
      </c>
      <c r="C8" s="207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09">
        <f>'2. 5기_예산목간'!D26</f>
        <v>1927800</v>
      </c>
      <c r="R8" s="210"/>
      <c r="S8" s="199">
        <f>Q9/Q8</f>
        <v>0</v>
      </c>
      <c r="T8" s="196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204"/>
      <c r="C9" s="208"/>
      <c r="D9" s="14" t="s">
        <v>280</v>
      </c>
      <c r="E9" s="9" t="str">
        <f>IF(COUNTIFS('3. 5기 수입지출장부'!$C$5:$C$2020,$C8,'3. 5기 수입지출장부'!$A$5:$A$2020,"&gt;="&amp;DATE(2026,E$5,1),'3. 5기 수입지출장부'!$A$5:$A$2020,"&lt;"&amp;DATE(2026,E$5+1,1),'3. 5기 수입지출장부'!$E$5:$E$2020,"&gt;0")&gt;0,"■","")</f>
        <v/>
      </c>
      <c r="F9" s="14" t="str">
        <f>IF(COUNTIFS('3. 5기 수입지출장부'!$C$5:$C$2020,$C8,'3. 5기 수입지출장부'!$A$5:$A$2020,"&gt;="&amp;DATE(2026,F$5,1),'3. 5기 수입지출장부'!$A$5:$A$2020,"&lt;"&amp;DATE(2026,F$5+1,1),'3. 5기 수입지출장부'!$E$5:$E$2020,"&gt;0")&gt;0,"■","")</f>
        <v/>
      </c>
      <c r="G9" s="14" t="str">
        <f>IF(COUNTIFS('3. 5기 수입지출장부'!$C$5:$C$2020,$C8,'3. 5기 수입지출장부'!$A$5:$A$2020,"&gt;="&amp;DATE(2026,G$5,1),'3. 5기 수입지출장부'!$A$5:$A$2020,"&lt;"&amp;DATE(2026,G$5+1,1),'3. 5기 수입지출장부'!$E$5:$E$2020,"&gt;0")&gt;0,"■","")</f>
        <v/>
      </c>
      <c r="H9" s="9" t="str">
        <f>IF(COUNTIFS('3. 5기 수입지출장부'!$C$5:$C$2020,$C8,'3. 5기 수입지출장부'!$A$5:$A$2020,"&gt;="&amp;DATE(2026,H$5,1),'3. 5기 수입지출장부'!$A$5:$A$2020,"&lt;"&amp;DATE(2026,H$5+1,1),'3. 5기 수입지출장부'!$E$5:$E$2020,"&gt;0")&gt;0,"■","")</f>
        <v/>
      </c>
      <c r="I9" s="14" t="str">
        <f>IF(COUNTIFS('3. 5기 수입지출장부'!$C$5:$C$2020,$C8,'3. 5기 수입지출장부'!$A$5:$A$2020,"&gt;="&amp;DATE(2026,I$5,1),'3. 5기 수입지출장부'!$A$5:$A$2020,"&lt;"&amp;DATE(2026,I$5+1,1),'3. 5기 수입지출장부'!$E$5:$E$2020,"&gt;0")&gt;0,"■","")</f>
        <v/>
      </c>
      <c r="J9" s="9" t="str">
        <f>IF(COUNTIFS('3. 5기 수입지출장부'!$C$5:$C$2020,$C8,'3. 5기 수입지출장부'!$A$5:$A$2020,"&gt;="&amp;DATE(2026,J$5,1),'3. 5기 수입지출장부'!$A$5:$A$2020,"&lt;"&amp;DATE(2026,J$5+1,1),'3. 5기 수입지출장부'!$E$5:$E$2020,"&gt;0")&gt;0,"■","")</f>
        <v/>
      </c>
      <c r="K9" s="14" t="str">
        <f>IF(COUNTIFS('3. 5기 수입지출장부'!$C$5:$C$2020,$C8,'3. 5기 수입지출장부'!$A$5:$A$2020,"&gt;="&amp;DATE(2026,K$5,1),'3. 5기 수입지출장부'!$A$5:$A$2020,"&lt;"&amp;DATE(2026,K$5+1,1),'3. 5기 수입지출장부'!$E$5:$E$2020,"&gt;0")&gt;0,"■","")</f>
        <v/>
      </c>
      <c r="L9" s="9" t="str">
        <f>IF(COUNTIFS('3. 5기 수입지출장부'!$C$5:$C$2020,$C8,'3. 5기 수입지출장부'!$A$5:$A$2020,"&gt;="&amp;DATE(2026,L$5,1),'3. 5기 수입지출장부'!$A$5:$A$2020,"&lt;"&amp;DATE(2026,L$5+1,1),'3. 5기 수입지출장부'!$E$5:$E$2020,"&gt;0")&gt;0,"■","")</f>
        <v/>
      </c>
      <c r="M9" s="14" t="str">
        <f>IF(COUNTIFS('3. 5기 수입지출장부'!$C$5:$C$2020,$C8,'3. 5기 수입지출장부'!$A$5:$A$2020,"&gt;="&amp;DATE(2026,M$5,1),'3. 5기 수입지출장부'!$A$5:$A$2020,"&lt;"&amp;DATE(2026,M$5+1,1),'3. 5기 수입지출장부'!$E$5:$E$2020,"&gt;0")&gt;0,"■","")</f>
        <v/>
      </c>
      <c r="N9" s="9" t="str">
        <f>IF(COUNTIFS('3. 5기 수입지출장부'!$C$5:$C$2020,$C8,'3. 5기 수입지출장부'!$A$5:$A$2020,"&gt;="&amp;DATE(2026,N$5,1),'3. 5기 수입지출장부'!$A$5:$A$2020,"&lt;"&amp;DATE(2026,N$5+1,1),'3. 5기 수입지출장부'!$E$5:$E$2020,"&gt;0")&gt;0,"■","")</f>
        <v/>
      </c>
      <c r="O9" s="14" t="str">
        <f>IF(COUNTIFS('3. 5기 수입지출장부'!$C$5:$C$2020,$C8,'3. 5기 수입지출장부'!$A$5:$A$2020,"&gt;="&amp;DATE(2026,O$5,1),'3. 5기 수입지출장부'!$A$5:$A$2020,"&lt;"&amp;DATE(2026,O$5+1,1),'3. 5기 수입지출장부'!$E$5:$E$2020,"&gt;0")&gt;0,"■","")</f>
        <v/>
      </c>
      <c r="P9" s="14" t="str">
        <f>IF(COUNTIFS('3. 5기 수입지출장부'!$C$5:$C$2020,$C8,'3. 5기 수입지출장부'!$A$5:$A$2020,"&gt;="&amp;DATE(2026,P$5,1),'3. 5기 수입지출장부'!$A$5:$A$2020,"&lt;"&amp;DATE(2026,P$5+1,1),'3. 5기 수입지출장부'!$E$5:$E$2020,"&gt;0")&gt;0,"■","")</f>
        <v/>
      </c>
      <c r="Q9" s="205">
        <f>'3. 5기 수입지출장부'!E210</f>
        <v>0</v>
      </c>
      <c r="R9" s="206"/>
      <c r="S9" s="195"/>
      <c r="T9" s="195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217">
        <f>B8+1</f>
        <v>3</v>
      </c>
      <c r="C10" s="207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13">
        <f>'2. 5기_예산목간'!D27</f>
        <v>540000</v>
      </c>
      <c r="R10" s="214"/>
      <c r="S10" s="199">
        <f>Q11/Q10</f>
        <v>0.30740740740740741</v>
      </c>
      <c r="T10" s="196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204"/>
      <c r="C11" s="208"/>
      <c r="D11" s="14" t="s">
        <v>280</v>
      </c>
      <c r="E11" s="9" t="str">
        <f>IF(COUNTIFS('3. 5기 수입지출장부'!$C$5:$C$2020,$C10,'3. 5기 수입지출장부'!$A$5:$A$2020,"&gt;="&amp;DATE(2026,E$5,1),'3. 5기 수입지출장부'!$A$5:$A$2020,"&lt;"&amp;DATE(2026,E$5+1,1),'3. 5기 수입지출장부'!$E$5:$E$2020,"&gt;0")&gt;0,"■","")</f>
        <v/>
      </c>
      <c r="F11" s="14" t="str">
        <f>IF(COUNTIFS('3. 5기 수입지출장부'!$C$5:$C$2020,$C10,'3. 5기 수입지출장부'!$A$5:$A$2020,"&gt;="&amp;DATE(2026,F$5,1),'3. 5기 수입지출장부'!$A$5:$A$2020,"&lt;"&amp;DATE(2026,F$5+1,1),'3. 5기 수입지출장부'!$E$5:$E$2020,"&gt;0")&gt;0,"■","")</f>
        <v/>
      </c>
      <c r="G11" s="14" t="str">
        <f>IF(COUNTIFS('3. 5기 수입지출장부'!$C$5:$C$2020,$C10,'3. 5기 수입지출장부'!$A$5:$A$2020,"&gt;="&amp;DATE(2026,G$5,1),'3. 5기 수입지출장부'!$A$5:$A$2020,"&lt;"&amp;DATE(2026,G$5+1,1),'3. 5기 수입지출장부'!$E$5:$E$2020,"&gt;0")&gt;0,"■","")</f>
        <v/>
      </c>
      <c r="H11" s="9" t="str">
        <f>IF(COUNTIFS('3. 5기 수입지출장부'!$C$5:$C$2020,$C10,'3. 5기 수입지출장부'!$A$5:$A$2020,"&gt;="&amp;DATE(2026,H$5,1),'3. 5기 수입지출장부'!$A$5:$A$2020,"&lt;"&amp;DATE(2026,H$5+1,1),'3. 5기 수입지출장부'!$E$5:$E$2020,"&gt;0")&gt;0,"■","")</f>
        <v>■</v>
      </c>
      <c r="I11" s="14" t="str">
        <f>IF(COUNTIFS('3. 5기 수입지출장부'!$C$5:$C$2020,$C10,'3. 5기 수입지출장부'!$A$5:$A$2020,"&gt;="&amp;DATE(2026,I$5,1),'3. 5기 수입지출장부'!$A$5:$A$2020,"&lt;"&amp;DATE(2026,I$5+1,1),'3. 5기 수입지출장부'!$E$5:$E$2020,"&gt;0")&gt;0,"■","")</f>
        <v/>
      </c>
      <c r="J11" s="9" t="str">
        <f>IF(COUNTIFS('3. 5기 수입지출장부'!$C$5:$C$2020,$C10,'3. 5기 수입지출장부'!$A$5:$A$2020,"&gt;="&amp;DATE(2026,J$5,1),'3. 5기 수입지출장부'!$A$5:$A$2020,"&lt;"&amp;DATE(2026,J$5+1,1),'3. 5기 수입지출장부'!$E$5:$E$2020,"&gt;0")&gt;0,"■","")</f>
        <v/>
      </c>
      <c r="K11" s="14" t="str">
        <f>IF(COUNTIFS('3. 5기 수입지출장부'!$C$5:$C$2020,$C10,'3. 5기 수입지출장부'!$A$5:$A$2020,"&gt;="&amp;DATE(2026,K$5,1),'3. 5기 수입지출장부'!$A$5:$A$2020,"&lt;"&amp;DATE(2026,K$5+1,1),'3. 5기 수입지출장부'!$E$5:$E$2020,"&gt;0")&gt;0,"■","")</f>
        <v/>
      </c>
      <c r="L11" s="9" t="str">
        <f>IF(COUNTIFS('3. 5기 수입지출장부'!$C$5:$C$2020,$C10,'3. 5기 수입지출장부'!$A$5:$A$2020,"&gt;="&amp;DATE(2026,L$5,1),'3. 5기 수입지출장부'!$A$5:$A$2020,"&lt;"&amp;DATE(2026,L$5+1,1),'3. 5기 수입지출장부'!$E$5:$E$2020,"&gt;0")&gt;0,"■","")</f>
        <v/>
      </c>
      <c r="M11" s="14" t="str">
        <f>IF(COUNTIFS('3. 5기 수입지출장부'!$C$5:$C$2020,$C10,'3. 5기 수입지출장부'!$A$5:$A$2020,"&gt;="&amp;DATE(2026,M$5,1),'3. 5기 수입지출장부'!$A$5:$A$2020,"&lt;"&amp;DATE(2026,M$5+1,1),'3. 5기 수입지출장부'!$E$5:$E$2020,"&gt;0")&gt;0,"■","")</f>
        <v/>
      </c>
      <c r="N11" s="9" t="str">
        <f>IF(COUNTIFS('3. 5기 수입지출장부'!$C$5:$C$2020,$C10,'3. 5기 수입지출장부'!$A$5:$A$2020,"&gt;="&amp;DATE(2026,N$5,1),'3. 5기 수입지출장부'!$A$5:$A$2020,"&lt;"&amp;DATE(2026,N$5+1,1),'3. 5기 수입지출장부'!$E$5:$E$2020,"&gt;0")&gt;0,"■","")</f>
        <v/>
      </c>
      <c r="O11" s="14" t="str">
        <f>IF(COUNTIFS('3. 5기 수입지출장부'!$C$5:$C$2020,$C10,'3. 5기 수입지출장부'!$A$5:$A$2020,"&gt;="&amp;DATE(2026,O$5,1),'3. 5기 수입지출장부'!$A$5:$A$2020,"&lt;"&amp;DATE(2026,O$5+1,1),'3. 5기 수입지출장부'!$E$5:$E$2020,"&gt;0")&gt;0,"■","")</f>
        <v/>
      </c>
      <c r="P11" s="14" t="str">
        <f>IF(COUNTIFS('3. 5기 수입지출장부'!$C$5:$C$2020,$C10,'3. 5기 수입지출장부'!$A$5:$A$2020,"&gt;="&amp;DATE(2026,P$5,1),'3. 5기 수입지출장부'!$A$5:$A$2020,"&lt;"&amp;DATE(2026,P$5+1,1),'3. 5기 수입지출장부'!$E$5:$E$2020,"&gt;0")&gt;0,"■","")</f>
        <v/>
      </c>
      <c r="Q11" s="230">
        <f>'3. 5기 수입지출장부'!E211</f>
        <v>166000</v>
      </c>
      <c r="R11" s="231"/>
      <c r="S11" s="195"/>
      <c r="T11" s="195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217">
        <v>4</v>
      </c>
      <c r="C12" s="207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09">
        <f>'2. 5기_예산목간'!D28</f>
        <v>1000000</v>
      </c>
      <c r="R12" s="210"/>
      <c r="S12" s="199">
        <f>Q13/Q12</f>
        <v>0</v>
      </c>
      <c r="T12" s="120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204"/>
      <c r="C13" s="208"/>
      <c r="D13" s="14" t="s">
        <v>280</v>
      </c>
      <c r="E13" s="9" t="str">
        <f>IF(COUNTIFS('3. 5기 수입지출장부'!$C$5:$C$2020,$C12,'3. 5기 수입지출장부'!$A$5:$A$2020,"&gt;="&amp;DATE(2026,E$5,1),'3. 5기 수입지출장부'!$A$5:$A$2020,"&lt;"&amp;DATE(2026,E$5+1,1),'3. 5기 수입지출장부'!$E$5:$E$2020,"&gt;0")&gt;0,"■","")</f>
        <v/>
      </c>
      <c r="F13" s="14" t="str">
        <f>IF(COUNTIFS('3. 5기 수입지출장부'!$C$5:$C$2020,$C12,'3. 5기 수입지출장부'!$A$5:$A$2020,"&gt;="&amp;DATE(2026,F$5,1),'3. 5기 수입지출장부'!$A$5:$A$2020,"&lt;"&amp;DATE(2026,F$5+1,1),'3. 5기 수입지출장부'!$E$5:$E$2020,"&gt;0")&gt;0,"■","")</f>
        <v/>
      </c>
      <c r="G13" s="14" t="str">
        <f>IF(COUNTIFS('3. 5기 수입지출장부'!$C$5:$C$2020,$C12,'3. 5기 수입지출장부'!$A$5:$A$2020,"&gt;="&amp;DATE(2026,G$5,1),'3. 5기 수입지출장부'!$A$5:$A$2020,"&lt;"&amp;DATE(2026,G$5+1,1),'3. 5기 수입지출장부'!$E$5:$E$2020,"&gt;0")&gt;0,"■","")</f>
        <v/>
      </c>
      <c r="H13" s="9" t="str">
        <f>IF(COUNTIFS('3. 5기 수입지출장부'!$C$5:$C$2020,$C12,'3. 5기 수입지출장부'!$A$5:$A$2020,"&gt;="&amp;DATE(2026,H$5,1),'3. 5기 수입지출장부'!$A$5:$A$2020,"&lt;"&amp;DATE(2026,H$5+1,1),'3. 5기 수입지출장부'!$E$5:$E$2020,"&gt;0")&gt;0,"■","")</f>
        <v/>
      </c>
      <c r="I13" s="14" t="str">
        <f>IF(COUNTIFS('3. 5기 수입지출장부'!$C$5:$C$2020,$C12,'3. 5기 수입지출장부'!$A$5:$A$2020,"&gt;="&amp;DATE(2026,I$5,1),'3. 5기 수입지출장부'!$A$5:$A$2020,"&lt;"&amp;DATE(2026,I$5+1,1),'3. 5기 수입지출장부'!$E$5:$E$2020,"&gt;0")&gt;0,"■","")</f>
        <v/>
      </c>
      <c r="J13" s="9" t="str">
        <f>IF(COUNTIFS('3. 5기 수입지출장부'!$C$5:$C$2020,$C12,'3. 5기 수입지출장부'!$A$5:$A$2020,"&gt;="&amp;DATE(2026,J$5,1),'3. 5기 수입지출장부'!$A$5:$A$2020,"&lt;"&amp;DATE(2026,J$5+1,1),'3. 5기 수입지출장부'!$E$5:$E$2020,"&gt;0")&gt;0,"■","")</f>
        <v/>
      </c>
      <c r="K13" s="14" t="str">
        <f>IF(COUNTIFS('3. 5기 수입지출장부'!$C$5:$C$2020,$C12,'3. 5기 수입지출장부'!$A$5:$A$2020,"&gt;="&amp;DATE(2026,K$5,1),'3. 5기 수입지출장부'!$A$5:$A$2020,"&lt;"&amp;DATE(2026,K$5+1,1),'3. 5기 수입지출장부'!$E$5:$E$2020,"&gt;0")&gt;0,"■","")</f>
        <v/>
      </c>
      <c r="L13" s="9" t="str">
        <f>IF(COUNTIFS('3. 5기 수입지출장부'!$C$5:$C$2020,$C12,'3. 5기 수입지출장부'!$A$5:$A$2020,"&gt;="&amp;DATE(2026,L$5,1),'3. 5기 수입지출장부'!$A$5:$A$2020,"&lt;"&amp;DATE(2026,L$5+1,1),'3. 5기 수입지출장부'!$E$5:$E$2020,"&gt;0")&gt;0,"■","")</f>
        <v/>
      </c>
      <c r="M13" s="14" t="str">
        <f>IF(COUNTIFS('3. 5기 수입지출장부'!$C$5:$C$2020,$C12,'3. 5기 수입지출장부'!$A$5:$A$2020,"&gt;="&amp;DATE(2026,M$5,1),'3. 5기 수입지출장부'!$A$5:$A$2020,"&lt;"&amp;DATE(2026,M$5+1,1),'3. 5기 수입지출장부'!$E$5:$E$2020,"&gt;0")&gt;0,"■","")</f>
        <v/>
      </c>
      <c r="N13" s="9" t="str">
        <f>IF(COUNTIFS('3. 5기 수입지출장부'!$C$5:$C$2020,$C12,'3. 5기 수입지출장부'!$A$5:$A$2020,"&gt;="&amp;DATE(2026,N$5,1),'3. 5기 수입지출장부'!$A$5:$A$2020,"&lt;"&amp;DATE(2026,N$5+1,1),'3. 5기 수입지출장부'!$E$5:$E$2020,"&gt;0")&gt;0,"■","")</f>
        <v/>
      </c>
      <c r="O13" s="14" t="str">
        <f>IF(COUNTIFS('3. 5기 수입지출장부'!$C$5:$C$2020,$C12,'3. 5기 수입지출장부'!$A$5:$A$2020,"&gt;="&amp;DATE(2026,O$5,1),'3. 5기 수입지출장부'!$A$5:$A$2020,"&lt;"&amp;DATE(2026,O$5+1,1),'3. 5기 수입지출장부'!$E$5:$E$2020,"&gt;0")&gt;0,"■","")</f>
        <v/>
      </c>
      <c r="P13" s="14" t="str">
        <f>IF(COUNTIFS('3. 5기 수입지출장부'!$C$5:$C$2020,$C12,'3. 5기 수입지출장부'!$A$5:$A$2020,"&gt;="&amp;DATE(2026,P$5,1),'3. 5기 수입지출장부'!$A$5:$A$2020,"&lt;"&amp;DATE(2026,P$5+1,1),'3. 5기 수입지출장부'!$E$5:$E$2020,"&gt;0")&gt;0,"■","")</f>
        <v/>
      </c>
      <c r="Q13" s="205">
        <f>'3. 5기 수입지출장부'!E212</f>
        <v>0</v>
      </c>
      <c r="R13" s="206"/>
      <c r="S13" s="195"/>
      <c r="T13" s="120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203">
        <v>5</v>
      </c>
      <c r="C14" s="207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82">
        <f>'2. 5기_예산목간'!D29</f>
        <v>400000</v>
      </c>
      <c r="R14" s="183"/>
      <c r="S14" s="237">
        <f>Q15/Q14</f>
        <v>0.94</v>
      </c>
      <c r="T14" s="194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02"/>
      <c r="AL14" s="179"/>
      <c r="AM14" s="179"/>
      <c r="AN14" s="179"/>
      <c r="AO14" s="179"/>
      <c r="AP14" s="179"/>
    </row>
    <row r="15" spans="1:42" ht="24.75" customHeight="1">
      <c r="A15" s="3"/>
      <c r="B15" s="204"/>
      <c r="C15" s="208"/>
      <c r="D15" s="14" t="s">
        <v>280</v>
      </c>
      <c r="E15" s="18" t="str">
        <f>IF(COUNTIFS('3. 5기 수입지출장부'!$C$5:$C$2020,$C14,'3. 5기 수입지출장부'!$A$5:$A$2020,"&gt;="&amp;DATE(2026,E$5,1),'3. 5기 수입지출장부'!$A$5:$A$2020,"&lt;"&amp;DATE(2026,E$5+1,1),'3. 5기 수입지출장부'!$E$5:$E$2020,"&gt;0")&gt;0,"■","")</f>
        <v/>
      </c>
      <c r="F15" s="14" t="str">
        <f>IF(COUNTIFS('3. 5기 수입지출장부'!$C$5:$C$2020,$C14,'3. 5기 수입지출장부'!$A$5:$A$2020,"&gt;="&amp;DATE(2026,F$5,1),'3. 5기 수입지출장부'!$A$5:$A$2020,"&lt;"&amp;DATE(2026,F$5+1,1),'3. 5기 수입지출장부'!$E$5:$E$2020,"&gt;0")&gt;0,"■","")</f>
        <v/>
      </c>
      <c r="G15" s="14" t="str">
        <f>IF(COUNTIFS('3. 5기 수입지출장부'!$C$5:$C$2020,$C14,'3. 5기 수입지출장부'!$A$5:$A$2020,"&gt;="&amp;DATE(2026,G$5,1),'3. 5기 수입지출장부'!$A$5:$A$2020,"&lt;"&amp;DATE(2026,G$5+1,1),'3. 5기 수입지출장부'!$E$5:$E$2020,"&gt;0")&gt;0,"■","")</f>
        <v/>
      </c>
      <c r="H15" s="9" t="str">
        <f>IF(COUNTIFS('3. 5기 수입지출장부'!$C$5:$C$2020,$C14,'3. 5기 수입지출장부'!$A$5:$A$2020,"&gt;="&amp;DATE(2026,H$5,1),'3. 5기 수입지출장부'!$A$5:$A$2020,"&lt;"&amp;DATE(2026,H$5+1,1),'3. 5기 수입지출장부'!$E$5:$E$2020,"&gt;0")&gt;0,"■","")</f>
        <v/>
      </c>
      <c r="I15" s="14" t="str">
        <f>IF(COUNTIFS('3. 5기 수입지출장부'!$C$5:$C$2020,$C14,'3. 5기 수입지출장부'!$A$5:$A$2020,"&gt;="&amp;DATE(2026,I$5,1),'3. 5기 수입지출장부'!$A$5:$A$2020,"&lt;"&amp;DATE(2026,I$5+1,1),'3. 5기 수입지출장부'!$E$5:$E$2020,"&gt;0")&gt;0,"■","")</f>
        <v/>
      </c>
      <c r="J15" s="14" t="str">
        <f>IF(COUNTIFS('3. 5기 수입지출장부'!$C$5:$C$2020,$C14,'3. 5기 수입지출장부'!$A$5:$A$2020,"&gt;="&amp;DATE(2026,J$5,1),'3. 5기 수입지출장부'!$A$5:$A$2020,"&lt;"&amp;DATE(2026,J$5+1,1),'3. 5기 수입지출장부'!$E$5:$E$2020,"&gt;0")&gt;0,"■","")</f>
        <v/>
      </c>
      <c r="K15" s="14" t="str">
        <f>IF(COUNTIFS('3. 5기 수입지출장부'!$C$5:$C$2020,$C14,'3. 5기 수입지출장부'!$A$5:$A$2020,"&gt;="&amp;DATE(2026,K$5,1),'3. 5기 수입지출장부'!$A$5:$A$2020,"&lt;"&amp;DATE(2026,K$5+1,1),'3. 5기 수입지출장부'!$E$5:$E$2020,"&gt;0")&gt;0,"■","")</f>
        <v/>
      </c>
      <c r="L15" s="14" t="str">
        <f>IF(COUNTIFS('3. 5기 수입지출장부'!$C$5:$C$2020,$C14,'3. 5기 수입지출장부'!$A$5:$A$2020,"&gt;="&amp;DATE(2026,L$5,1),'3. 5기 수입지출장부'!$A$5:$A$2020,"&lt;"&amp;DATE(2026,L$5+1,1),'3. 5기 수입지출장부'!$E$5:$E$2020,"&gt;0")&gt;0,"■","")</f>
        <v/>
      </c>
      <c r="M15" s="14" t="str">
        <f>IF(COUNTIFS('3. 5기 수입지출장부'!$C$5:$C$2020,$C14,'3. 5기 수입지출장부'!$A$5:$A$2020,"&gt;="&amp;DATE(2026,M$5,1),'3. 5기 수입지출장부'!$A$5:$A$2020,"&lt;"&amp;DATE(2026,M$5+1,1),'3. 5기 수입지출장부'!$E$5:$E$2020,"&gt;0")&gt;0,"■","")</f>
        <v>■</v>
      </c>
      <c r="N15" s="14" t="str">
        <f>IF(COUNTIFS('3. 5기 수입지출장부'!$C$5:$C$2020,$C14,'3. 5기 수입지출장부'!$A$5:$A$2020,"&gt;="&amp;DATE(2026,N$5,1),'3. 5기 수입지출장부'!$A$5:$A$2020,"&lt;"&amp;DATE(2026,N$5+1,1),'3. 5기 수입지출장부'!$E$5:$E$2020,"&gt;0")&gt;0,"■","")</f>
        <v/>
      </c>
      <c r="O15" s="14" t="str">
        <f>IF(COUNTIFS('3. 5기 수입지출장부'!$C$5:$C$2020,$C14,'3. 5기 수입지출장부'!$A$5:$A$2020,"&gt;="&amp;DATE(2026,O$5,1),'3. 5기 수입지출장부'!$A$5:$A$2020,"&lt;"&amp;DATE(2026,O$5+1,1),'3. 5기 수입지출장부'!$E$5:$E$2020,"&gt;0")&gt;0,"■","")</f>
        <v/>
      </c>
      <c r="P15" s="14" t="str">
        <f>IF(COUNTIFS('3. 5기 수입지출장부'!$C$5:$C$2020,$C14,'3. 5기 수입지출장부'!$A$5:$A$2020,"&gt;="&amp;DATE(2026,P$5,1),'3. 5기 수입지출장부'!$A$5:$A$2020,"&lt;"&amp;DATE(2026,P$5+1,1),'3. 5기 수입지출장부'!$E$5:$E$2020,"&gt;0")&gt;0,"■","")</f>
        <v/>
      </c>
      <c r="Q15" s="247">
        <f>'3. 5기 수입지출장부'!E213</f>
        <v>376000</v>
      </c>
      <c r="R15" s="248"/>
      <c r="S15" s="195"/>
      <c r="T15" s="195"/>
      <c r="U15" s="3"/>
      <c r="V15" s="3"/>
      <c r="W15" s="3"/>
      <c r="X15" s="19"/>
      <c r="Y15" s="178"/>
      <c r="Z15" s="178"/>
      <c r="AA15" s="191"/>
      <c r="AB15" s="179"/>
      <c r="AC15" s="179"/>
      <c r="AD15" s="179"/>
      <c r="AE15" s="179"/>
      <c r="AF15" s="179"/>
      <c r="AG15" s="179"/>
      <c r="AH15" s="179"/>
      <c r="AI15" s="179"/>
      <c r="AJ15" s="179"/>
      <c r="AK15" s="179"/>
      <c r="AL15" s="179"/>
      <c r="AM15" s="178"/>
      <c r="AN15" s="179"/>
      <c r="AO15" s="178"/>
      <c r="AP15" s="178"/>
    </row>
    <row r="16" spans="1:42" ht="24.75" customHeight="1">
      <c r="A16" s="3"/>
      <c r="B16" s="217">
        <v>6</v>
      </c>
      <c r="C16" s="207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182">
        <f>'2. 5기_예산목간'!D30</f>
        <v>200000</v>
      </c>
      <c r="R16" s="183"/>
      <c r="S16" s="237">
        <f>Q17/Q16</f>
        <v>0.67500000000000004</v>
      </c>
      <c r="T16" s="188" t="s">
        <v>290</v>
      </c>
      <c r="U16" s="3"/>
      <c r="V16" s="3"/>
      <c r="W16" s="3"/>
      <c r="X16" s="19"/>
      <c r="Y16" s="179"/>
      <c r="Z16" s="179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1"/>
      <c r="AN16" s="179"/>
      <c r="AO16" s="179"/>
      <c r="AP16" s="179"/>
    </row>
    <row r="17" spans="1:42" ht="24.75" customHeight="1">
      <c r="A17" s="3"/>
      <c r="B17" s="204"/>
      <c r="C17" s="208"/>
      <c r="D17" s="14" t="s">
        <v>280</v>
      </c>
      <c r="E17" s="14" t="str">
        <f>IF(COUNTIFS('3. 5기 수입지출장부'!$C$5:$C$2020,$C16,'3. 5기 수입지출장부'!$A$5:$A$2020,"&gt;="&amp;DATE(2026,E$5,1),'3. 5기 수입지출장부'!$A$5:$A$2020,"&lt;"&amp;DATE(2026,E$5+1,1),'3. 5기 수입지출장부'!$E$5:$E$2020,"&gt;0")&gt;0,"■","")</f>
        <v/>
      </c>
      <c r="F17" s="14" t="str">
        <f>IF(COUNTIFS('3. 5기 수입지출장부'!$C$5:$C$2020,$C16,'3. 5기 수입지출장부'!$A$5:$A$2020,"&gt;="&amp;DATE(2026,F$5,1),'3. 5기 수입지출장부'!$A$5:$A$2020,"&lt;"&amp;DATE(2026,F$5+1,1),'3. 5기 수입지출장부'!$E$5:$E$2020,"&gt;0")&gt;0,"■","")</f>
        <v/>
      </c>
      <c r="G17" s="14" t="str">
        <f>IF(COUNTIFS('3. 5기 수입지출장부'!$C$5:$C$2020,$C16,'3. 5기 수입지출장부'!$A$5:$A$2020,"&gt;="&amp;DATE(2026,G$5,1),'3. 5기 수입지출장부'!$A$5:$A$2020,"&lt;"&amp;DATE(2026,G$5+1,1),'3. 5기 수입지출장부'!$E$5:$E$2020,"&gt;0")&gt;0,"■","")</f>
        <v/>
      </c>
      <c r="H17" s="9" t="str">
        <f>IF(COUNTIFS('3. 5기 수입지출장부'!$C$5:$C$2020,$C16,'3. 5기 수입지출장부'!$A$5:$A$2020,"&gt;="&amp;DATE(2026,H$5,1),'3. 5기 수입지출장부'!$A$5:$A$2020,"&lt;"&amp;DATE(2026,H$5+1,1),'3. 5기 수입지출장부'!$E$5:$E$2020,"&gt;0")&gt;0,"■","")</f>
        <v/>
      </c>
      <c r="I17" s="14" t="str">
        <f>IF(COUNTIFS('3. 5기 수입지출장부'!$C$5:$C$2020,$C16,'3. 5기 수입지출장부'!$A$5:$A$2020,"&gt;="&amp;DATE(2026,I$5,1),'3. 5기 수입지출장부'!$A$5:$A$2020,"&lt;"&amp;DATE(2026,I$5+1,1),'3. 5기 수입지출장부'!$E$5:$E$2020,"&gt;0")&gt;0,"■","")</f>
        <v/>
      </c>
      <c r="J17" s="14" t="str">
        <f>IF(COUNTIFS('3. 5기 수입지출장부'!$C$5:$C$2020,$C16,'3. 5기 수입지출장부'!$A$5:$A$2020,"&gt;="&amp;DATE(2026,J$5,1),'3. 5기 수입지출장부'!$A$5:$A$2020,"&lt;"&amp;DATE(2026,J$5+1,1),'3. 5기 수입지출장부'!$E$5:$E$2020,"&gt;0")&gt;0,"■","")</f>
        <v/>
      </c>
      <c r="K17" s="14" t="str">
        <f>IF(COUNTIFS('3. 5기 수입지출장부'!$C$5:$C$2020,$C16,'3. 5기 수입지출장부'!$A$5:$A$2020,"&gt;="&amp;DATE(2026,K$5,1),'3. 5기 수입지출장부'!$A$5:$A$2020,"&lt;"&amp;DATE(2026,K$5+1,1),'3. 5기 수입지출장부'!$E$5:$E$2020,"&gt;0")&gt;0,"■","")</f>
        <v/>
      </c>
      <c r="L17" s="14" t="str">
        <f>IF(COUNTIFS('3. 5기 수입지출장부'!$C$5:$C$2020,$C16,'3. 5기 수입지출장부'!$A$5:$A$2020,"&gt;="&amp;DATE(2026,L$5,1),'3. 5기 수입지출장부'!$A$5:$A$2020,"&lt;"&amp;DATE(2026,L$5+1,1),'3. 5기 수입지출장부'!$E$5:$E$2020,"&gt;0")&gt;0,"■","")</f>
        <v>■</v>
      </c>
      <c r="M17" s="14" t="str">
        <f>IF(COUNTIFS('3. 5기 수입지출장부'!$C$5:$C$2020,$C16,'3. 5기 수입지출장부'!$A$5:$A$2020,"&gt;="&amp;DATE(2026,M$5,1),'3. 5기 수입지출장부'!$A$5:$A$2020,"&lt;"&amp;DATE(2026,M$5+1,1),'3. 5기 수입지출장부'!$E$5:$E$2020,"&gt;0")&gt;0,"■","")</f>
        <v/>
      </c>
      <c r="N17" s="14" t="str">
        <f>IF(COUNTIFS('3. 5기 수입지출장부'!$C$5:$C$2020,$C16,'3. 5기 수입지출장부'!$A$5:$A$2020,"&gt;="&amp;DATE(2026,N$5,1),'3. 5기 수입지출장부'!$A$5:$A$2020,"&lt;"&amp;DATE(2026,N$5+1,1),'3. 5기 수입지출장부'!$E$5:$E$2020,"&gt;0")&gt;0,"■","")</f>
        <v/>
      </c>
      <c r="O17" s="14" t="str">
        <f>IF(COUNTIFS('3. 5기 수입지출장부'!$C$5:$C$2020,$C16,'3. 5기 수입지출장부'!$A$5:$A$2020,"&gt;="&amp;DATE(2026,O$5,1),'3. 5기 수입지출장부'!$A$5:$A$2020,"&lt;"&amp;DATE(2026,O$5+1,1),'3. 5기 수입지출장부'!$E$5:$E$2020,"&gt;0")&gt;0,"■","")</f>
        <v/>
      </c>
      <c r="P17" s="14" t="str">
        <f>IF(COUNTIFS('3. 5기 수입지출장부'!$C$5:$C$2020,$C16,'3. 5기 수입지출장부'!$A$5:$A$2020,"&gt;="&amp;DATE(2026,P$5,1),'3. 5기 수입지출장부'!$A$5:$A$2020,"&lt;"&amp;DATE(2026,P$5+1,1),'3. 5기 수입지출장부'!$E$5:$E$2020,"&gt;0")&gt;0,"■","")</f>
        <v/>
      </c>
      <c r="Q17" s="205">
        <f>'3. 5기 수입지출장부'!E214</f>
        <v>135000</v>
      </c>
      <c r="R17" s="206"/>
      <c r="S17" s="195"/>
      <c r="T17" s="189"/>
      <c r="U17" s="3"/>
      <c r="V17" s="3"/>
      <c r="W17" s="3"/>
      <c r="X17" s="191"/>
      <c r="Y17" s="178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87"/>
      <c r="AN17" s="179"/>
      <c r="AO17" s="184"/>
      <c r="AP17" s="178"/>
    </row>
    <row r="18" spans="1:42" ht="24.75" customHeight="1">
      <c r="A18" s="3"/>
      <c r="B18" s="217">
        <v>7</v>
      </c>
      <c r="C18" s="207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182">
        <f>'2. 5기_예산목간'!D31</f>
        <v>200000</v>
      </c>
      <c r="R18" s="183"/>
      <c r="S18" s="199">
        <f>Q19/Q18</f>
        <v>0</v>
      </c>
      <c r="T18" s="194" t="s">
        <v>291</v>
      </c>
      <c r="U18" s="3"/>
      <c r="V18" s="3"/>
      <c r="W18" s="3"/>
      <c r="X18" s="179"/>
      <c r="Y18" s="17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0"/>
      <c r="AN18" s="179"/>
      <c r="AO18" s="179"/>
      <c r="AP18" s="179"/>
    </row>
    <row r="19" spans="1:42" ht="24.75" customHeight="1">
      <c r="A19" s="3"/>
      <c r="B19" s="204"/>
      <c r="C19" s="208"/>
      <c r="D19" s="14" t="s">
        <v>280</v>
      </c>
      <c r="E19" s="14" t="str">
        <f>IF(COUNTIFS('3. 5기 수입지출장부'!$C$5:$C$2020,$C18,'3. 5기 수입지출장부'!$A$5:$A$2020,"&gt;="&amp;DATE(2026,E$5,1),'3. 5기 수입지출장부'!$A$5:$A$2020,"&lt;"&amp;DATE(2026,E$5+1,1),'3. 5기 수입지출장부'!$E$5:$E$2020,"&gt;0")&gt;0,"■","")</f>
        <v/>
      </c>
      <c r="F19" s="5" t="str">
        <f>IF(COUNTIFS('3. 5기 수입지출장부'!$C$5:$C$2020,$C18,'3. 5기 수입지출장부'!$A$5:$A$2020,"&gt;="&amp;DATE(2026,F$5,1),'3. 5기 수입지출장부'!$A$5:$A$2020,"&lt;"&amp;DATE(2026,F$5+1,1),'3. 5기 수입지출장부'!$E$5:$E$2020,"&gt;0")&gt;0,"■","")</f>
        <v/>
      </c>
      <c r="G19" s="14" t="str">
        <f>IF(COUNTIFS('3. 5기 수입지출장부'!$C$5:$C$2020,$C18,'3. 5기 수입지출장부'!$A$5:$A$2020,"&gt;="&amp;DATE(2026,G$5,1),'3. 5기 수입지출장부'!$A$5:$A$2020,"&lt;"&amp;DATE(2026,G$5+1,1),'3. 5기 수입지출장부'!$E$5:$E$2020,"&gt;0")&gt;0,"■","")</f>
        <v/>
      </c>
      <c r="H19" s="9" t="str">
        <f>IF(COUNTIFS('3. 5기 수입지출장부'!$C$5:$C$2020,$C18,'3. 5기 수입지출장부'!$A$5:$A$2020,"&gt;="&amp;DATE(2026,H$5,1),'3. 5기 수입지출장부'!$A$5:$A$2020,"&lt;"&amp;DATE(2026,H$5+1,1),'3. 5기 수입지출장부'!$E$5:$E$2020,"&gt;0")&gt;0,"■","")</f>
        <v/>
      </c>
      <c r="I19" s="9" t="str">
        <f>IF(COUNTIFS('3. 5기 수입지출장부'!$C$5:$C$2020,$C18,'3. 5기 수입지출장부'!$A$5:$A$2020,"&gt;="&amp;DATE(2026,I$5,1),'3. 5기 수입지출장부'!$A$5:$A$2020,"&lt;"&amp;DATE(2026,I$5+1,1),'3. 5기 수입지출장부'!$E$5:$E$2020,"&gt;0")&gt;0,"■","")</f>
        <v/>
      </c>
      <c r="J19" s="14" t="str">
        <f>IF(COUNTIFS('3. 5기 수입지출장부'!$C$5:$C$2020,$C18,'3. 5기 수입지출장부'!$A$5:$A$2020,"&gt;="&amp;DATE(2026,J$5,1),'3. 5기 수입지출장부'!$A$5:$A$2020,"&lt;"&amp;DATE(2026,J$5+1,1),'3. 5기 수입지출장부'!$E$5:$E$2020,"&gt;0")&gt;0,"■","")</f>
        <v/>
      </c>
      <c r="K19" s="14" t="str">
        <f>IF(COUNTIFS('3. 5기 수입지출장부'!$C$5:$C$2020,$C18,'3. 5기 수입지출장부'!$A$5:$A$2020,"&gt;="&amp;DATE(2026,K$5,1),'3. 5기 수입지출장부'!$A$5:$A$2020,"&lt;"&amp;DATE(2026,K$5+1,1),'3. 5기 수입지출장부'!$E$5:$E$2020,"&gt;0")&gt;0,"■","")</f>
        <v/>
      </c>
      <c r="L19" s="14" t="str">
        <f>IF(COUNTIFS('3. 5기 수입지출장부'!$C$5:$C$2020,$C18,'3. 5기 수입지출장부'!$A$5:$A$2020,"&gt;="&amp;DATE(2026,L$5,1),'3. 5기 수입지출장부'!$A$5:$A$2020,"&lt;"&amp;DATE(2026,L$5+1,1),'3. 5기 수입지출장부'!$E$5:$E$2020,"&gt;0")&gt;0,"■","")</f>
        <v/>
      </c>
      <c r="M19" s="14" t="str">
        <f>IF(COUNTIFS('3. 5기 수입지출장부'!$C$5:$C$2020,$C18,'3. 5기 수입지출장부'!$A$5:$A$2020,"&gt;="&amp;DATE(2026,M$5,1),'3. 5기 수입지출장부'!$A$5:$A$2020,"&lt;"&amp;DATE(2026,M$5+1,1),'3. 5기 수입지출장부'!$E$5:$E$2020,"&gt;0")&gt;0,"■","")</f>
        <v/>
      </c>
      <c r="N19" s="14" t="str">
        <f>IF(COUNTIFS('3. 5기 수입지출장부'!$C$5:$C$2020,$C18,'3. 5기 수입지출장부'!$A$5:$A$2020,"&gt;="&amp;DATE(2026,N$5,1),'3. 5기 수입지출장부'!$A$5:$A$2020,"&lt;"&amp;DATE(2026,N$5+1,1),'3. 5기 수입지출장부'!$E$5:$E$2020,"&gt;0")&gt;0,"■","")</f>
        <v/>
      </c>
      <c r="O19" s="14" t="str">
        <f>IF(COUNTIFS('3. 5기 수입지출장부'!$C$5:$C$2020,$C18,'3. 5기 수입지출장부'!$A$5:$A$2020,"&gt;="&amp;DATE(2026,O$5,1),'3. 5기 수입지출장부'!$A$5:$A$2020,"&lt;"&amp;DATE(2026,O$5+1,1),'3. 5기 수입지출장부'!$E$5:$E$2020,"&gt;0")&gt;0,"■","")</f>
        <v/>
      </c>
      <c r="P19" s="14" t="str">
        <f>IF(COUNTIFS('3. 5기 수입지출장부'!$C$5:$C$2020,$C18,'3. 5기 수입지출장부'!$A$5:$A$2020,"&gt;="&amp;DATE(2026,P$5,1),'3. 5기 수입지출장부'!$A$5:$A$2020,"&lt;"&amp;DATE(2026,P$5+1,1),'3. 5기 수입지출장부'!$E$5:$E$2020,"&gt;0")&gt;0,"■","")</f>
        <v/>
      </c>
      <c r="Q19" s="215">
        <f>'3. 5기 수입지출장부'!E215</f>
        <v>0</v>
      </c>
      <c r="R19" s="216"/>
      <c r="S19" s="195"/>
      <c r="T19" s="195"/>
      <c r="U19" s="3"/>
      <c r="V19" s="3"/>
      <c r="W19" s="3"/>
      <c r="X19" s="191"/>
      <c r="Y19" s="178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87"/>
      <c r="AN19" s="179"/>
      <c r="AO19" s="184"/>
      <c r="AP19" s="178"/>
    </row>
    <row r="20" spans="1:42" ht="24.75" customHeight="1">
      <c r="A20" s="3"/>
      <c r="B20" s="217">
        <v>8</v>
      </c>
      <c r="C20" s="207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182">
        <f>'2. 5기_예산목간'!D32</f>
        <v>200000</v>
      </c>
      <c r="R20" s="183"/>
      <c r="S20" s="237">
        <f>Q21/Q20</f>
        <v>0.67500000000000004</v>
      </c>
      <c r="T20" s="194" t="s">
        <v>292</v>
      </c>
      <c r="U20" s="3"/>
      <c r="V20" s="3"/>
      <c r="W20" s="3"/>
      <c r="X20" s="179"/>
      <c r="Y20" s="17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0"/>
      <c r="AN20" s="179"/>
      <c r="AO20" s="179"/>
      <c r="AP20" s="179"/>
    </row>
    <row r="21" spans="1:42" ht="24.75" customHeight="1">
      <c r="A21" s="3"/>
      <c r="B21" s="204"/>
      <c r="C21" s="208"/>
      <c r="D21" s="14" t="s">
        <v>280</v>
      </c>
      <c r="E21" s="14" t="str">
        <f>IF(COUNTIFS('3. 5기 수입지출장부'!$C$5:$C$2020,$C20,'3. 5기 수입지출장부'!$A$5:$A$2020,"&gt;="&amp;DATE(2026,E$5,1),'3. 5기 수입지출장부'!$A$5:$A$2020,"&lt;"&amp;DATE(2026,E$5+1,1),'3. 5기 수입지출장부'!$E$5:$E$2020,"&gt;0")&gt;0,"■","")</f>
        <v/>
      </c>
      <c r="F21" s="14" t="str">
        <f>IF(COUNTIFS('3. 5기 수입지출장부'!$C$5:$C$2020,$C20,'3. 5기 수입지출장부'!$A$5:$A$2020,"&gt;="&amp;DATE(2026,F$5,1),'3. 5기 수입지출장부'!$A$5:$A$2020,"&lt;"&amp;DATE(2026,F$5+1,1),'3. 5기 수입지출장부'!$E$5:$E$2020,"&gt;0")&gt;0,"■","")</f>
        <v/>
      </c>
      <c r="G21" s="14" t="str">
        <f>IF(COUNTIFS('3. 5기 수입지출장부'!$C$5:$C$2020,$C20,'3. 5기 수입지출장부'!$A$5:$A$2020,"&gt;="&amp;DATE(2026,G$5,1),'3. 5기 수입지출장부'!$A$5:$A$2020,"&lt;"&amp;DATE(2026,G$5+1,1),'3. 5기 수입지출장부'!$E$5:$E$2020,"&gt;0")&gt;0,"■","")</f>
        <v/>
      </c>
      <c r="H21" s="9" t="str">
        <f>IF(COUNTIFS('3. 5기 수입지출장부'!$C$5:$C$2020,$C20,'3. 5기 수입지출장부'!$A$5:$A$2020,"&gt;="&amp;DATE(2026,H$5,1),'3. 5기 수입지출장부'!$A$5:$A$2020,"&lt;"&amp;DATE(2026,H$5+1,1),'3. 5기 수입지출장부'!$E$5:$E$2020,"&gt;0")&gt;0,"■","")</f>
        <v/>
      </c>
      <c r="I21" s="14" t="str">
        <f>IF(COUNTIFS('3. 5기 수입지출장부'!$C$5:$C$2020,$C20,'3. 5기 수입지출장부'!$A$5:$A$2020,"&gt;="&amp;DATE(2026,I$5,1),'3. 5기 수입지출장부'!$A$5:$A$2020,"&lt;"&amp;DATE(2026,I$5+1,1),'3. 5기 수입지출장부'!$E$5:$E$2020,"&gt;0")&gt;0,"■","")</f>
        <v/>
      </c>
      <c r="J21" s="9" t="str">
        <f>IF(COUNTIFS('3. 5기 수입지출장부'!$C$5:$C$2020,$C20,'3. 5기 수입지출장부'!$A$5:$A$2020,"&gt;="&amp;DATE(2026,J$5,1),'3. 5기 수입지출장부'!$A$5:$A$2020,"&lt;"&amp;DATE(2026,J$5+1,1),'3. 5기 수입지출장부'!$E$5:$E$2020,"&gt;0")&gt;0,"■","")</f>
        <v/>
      </c>
      <c r="K21" s="14" t="str">
        <f>IF(COUNTIFS('3. 5기 수입지출장부'!$C$5:$C$2020,$C20,'3. 5기 수입지출장부'!$A$5:$A$2020,"&gt;="&amp;DATE(2026,K$5,1),'3. 5기 수입지출장부'!$A$5:$A$2020,"&lt;"&amp;DATE(2026,K$5+1,1),'3. 5기 수입지출장부'!$E$5:$E$2020,"&gt;0")&gt;0,"■","")</f>
        <v/>
      </c>
      <c r="L21" s="14" t="str">
        <f>IF(COUNTIFS('3. 5기 수입지출장부'!$C$5:$C$2020,$C20,'3. 5기 수입지출장부'!$A$5:$A$2020,"&gt;="&amp;DATE(2026,L$5,1),'3. 5기 수입지출장부'!$A$5:$A$2020,"&lt;"&amp;DATE(2026,L$5+1,1),'3. 5기 수입지출장부'!$E$5:$E$2020,"&gt;0")&gt;0,"■","")</f>
        <v>■</v>
      </c>
      <c r="M21" s="14" t="str">
        <f>IF(COUNTIFS('3. 5기 수입지출장부'!$C$5:$C$2020,$C20,'3. 5기 수입지출장부'!$A$5:$A$2020,"&gt;="&amp;DATE(2026,M$5,1),'3. 5기 수입지출장부'!$A$5:$A$2020,"&lt;"&amp;DATE(2026,M$5+1,1),'3. 5기 수입지출장부'!$E$5:$E$2020,"&gt;0")&gt;0,"■","")</f>
        <v/>
      </c>
      <c r="N21" s="14" t="str">
        <f>IF(COUNTIFS('3. 5기 수입지출장부'!$C$5:$C$2020,$C20,'3. 5기 수입지출장부'!$A$5:$A$2020,"&gt;="&amp;DATE(2026,N$5,1),'3. 5기 수입지출장부'!$A$5:$A$2020,"&lt;"&amp;DATE(2026,N$5+1,1),'3. 5기 수입지출장부'!$E$5:$E$2020,"&gt;0")&gt;0,"■","")</f>
        <v/>
      </c>
      <c r="O21" s="21" t="str">
        <f>IF(COUNTIFS('3. 5기 수입지출장부'!$C$5:$C$2020,$C20,'3. 5기 수입지출장부'!$A$5:$A$2020,"&gt;="&amp;DATE(2026,O$5,1),'3. 5기 수입지출장부'!$A$5:$A$2020,"&lt;"&amp;DATE(2026,O$5+1,1),'3. 5기 수입지출장부'!$E$5:$E$2020,"&gt;0")&gt;0,"■","")</f>
        <v/>
      </c>
      <c r="P21" s="14" t="str">
        <f>IF(COUNTIFS('3. 5기 수입지출장부'!$C$5:$C$2020,$C20,'3. 5기 수입지출장부'!$A$5:$A$2020,"&gt;="&amp;DATE(2026,P$5,1),'3. 5기 수입지출장부'!$A$5:$A$2020,"&lt;"&amp;DATE(2026,P$5+1,1),'3. 5기 수입지출장부'!$E$5:$E$2020,"&gt;0")&gt;0,"■","")</f>
        <v/>
      </c>
      <c r="Q21" s="205">
        <f>'3. 5기 수입지출장부'!E216</f>
        <v>135000</v>
      </c>
      <c r="R21" s="206"/>
      <c r="S21" s="195"/>
      <c r="T21" s="195"/>
      <c r="U21" s="3"/>
      <c r="V21" s="3"/>
      <c r="W21" s="3"/>
      <c r="X21" s="191"/>
      <c r="Y21" s="178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87"/>
      <c r="AN21" s="179"/>
      <c r="AO21" s="184"/>
      <c r="AP21" s="178"/>
    </row>
    <row r="22" spans="1:42" ht="24.75" customHeight="1">
      <c r="A22" s="3"/>
      <c r="B22" s="203">
        <v>9</v>
      </c>
      <c r="C22" s="207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182">
        <f>'2. 5기_예산목간'!D38</f>
        <v>3600000</v>
      </c>
      <c r="R22" s="183"/>
      <c r="S22" s="199">
        <f>Q23/Q22</f>
        <v>0.99601666666666666</v>
      </c>
      <c r="T22" s="194" t="s">
        <v>283</v>
      </c>
      <c r="U22" s="3"/>
      <c r="V22" s="3"/>
      <c r="W22" s="3"/>
      <c r="X22" s="179"/>
      <c r="Y22" s="17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0"/>
      <c r="AN22" s="179"/>
      <c r="AO22" s="179"/>
      <c r="AP22" s="179"/>
    </row>
    <row r="23" spans="1:42" ht="24.75" customHeight="1">
      <c r="A23" s="3"/>
      <c r="B23" s="204"/>
      <c r="C23" s="208"/>
      <c r="D23" s="14" t="s">
        <v>280</v>
      </c>
      <c r="E23" s="9" t="str">
        <f>IF(COUNTIFS('3. 5기 수입지출장부'!$C$5:$C$2020,$C22,'3. 5기 수입지출장부'!$A$5:$A$2020,"&gt;="&amp;DATE(2026,E$5,1),'3. 5기 수입지출장부'!$A$5:$A$2020,"&lt;"&amp;DATE(2026,E$5+1,1),'3. 5기 수입지출장부'!$E$5:$E$2020,"&gt;0")&gt;0,"■","")</f>
        <v/>
      </c>
      <c r="F23" s="9" t="str">
        <f>IF(COUNTIFS('3. 5기 수입지출장부'!$C$5:$C$2020,$C22,'3. 5기 수입지출장부'!$A$5:$A$2020,"&gt;="&amp;DATE(2026,F$5,1),'3. 5기 수입지출장부'!$A$5:$A$2020,"&lt;"&amp;DATE(2026,F$5+1,1),'3. 5기 수입지출장부'!$E$5:$E$2020,"&gt;0")&gt;0,"■","")</f>
        <v/>
      </c>
      <c r="G23" s="9" t="str">
        <f>IF(COUNTIFS('3. 5기 수입지출장부'!$C$5:$C$2020,$C22,'3. 5기 수입지출장부'!$A$5:$A$2020,"&gt;="&amp;DATE(2026,G$5,1),'3. 5기 수입지출장부'!$A$5:$A$2020,"&lt;"&amp;DATE(2026,G$5+1,1),'3. 5기 수입지출장부'!$E$5:$E$2020,"&gt;0")&gt;0,"■","")</f>
        <v>■</v>
      </c>
      <c r="H23" s="9" t="str">
        <f>IF(COUNTIFS('3. 5기 수입지출장부'!$C$5:$C$2020,$C22,'3. 5기 수입지출장부'!$A$5:$A$2020,"&gt;="&amp;DATE(2026,H$5,1),'3. 5기 수입지출장부'!$A$5:$A$2020,"&lt;"&amp;DATE(2026,H$5+1,1),'3. 5기 수입지출장부'!$E$5:$E$2020,"&gt;0")&gt;0,"■","")</f>
        <v>■</v>
      </c>
      <c r="I23" s="9" t="str">
        <f>IF(COUNTIFS('3. 5기 수입지출장부'!$C$5:$C$2020,$C22,'3. 5기 수입지출장부'!$A$5:$A$2020,"&gt;="&amp;DATE(2026,I$5,1),'3. 5기 수입지출장부'!$A$5:$A$2020,"&lt;"&amp;DATE(2026,I$5+1,1),'3. 5기 수입지출장부'!$E$5:$E$2020,"&gt;0")&gt;0,"■","")</f>
        <v>■</v>
      </c>
      <c r="J23" s="9" t="str">
        <f>IF(COUNTIFS('3. 5기 수입지출장부'!$C$5:$C$2020,$C22,'3. 5기 수입지출장부'!$A$5:$A$2020,"&gt;="&amp;DATE(2026,J$5,1),'3. 5기 수입지출장부'!$A$5:$A$2020,"&lt;"&amp;DATE(2026,J$5+1,1),'3. 5기 수입지출장부'!$E$5:$E$2020,"&gt;0")&gt;0,"■","")</f>
        <v>■</v>
      </c>
      <c r="K23" s="9" t="str">
        <f>IF(COUNTIFS('3. 5기 수입지출장부'!$C$5:$C$2020,$C22,'3. 5기 수입지출장부'!$A$5:$A$2020,"&gt;="&amp;DATE(2026,K$5,1),'3. 5기 수입지출장부'!$A$5:$A$2020,"&lt;"&amp;DATE(2026,K$5+1,1),'3. 5기 수입지출장부'!$E$5:$E$2020,"&gt;0")&gt;0,"■","")</f>
        <v>■</v>
      </c>
      <c r="L23" s="9" t="str">
        <f>IF(COUNTIFS('3. 5기 수입지출장부'!$C$5:$C$2020,$C22,'3. 5기 수입지출장부'!$A$5:$A$2020,"&gt;="&amp;DATE(2026,L$5,1),'3. 5기 수입지출장부'!$A$5:$A$2020,"&lt;"&amp;DATE(2026,L$5+1,1),'3. 5기 수입지출장부'!$E$5:$E$2020,"&gt;0")&gt;0,"■","")</f>
        <v>■</v>
      </c>
      <c r="M23" s="9" t="str">
        <f>IF(COUNTIFS('3. 5기 수입지출장부'!$C$5:$C$2020,$C22,'3. 5기 수입지출장부'!$A$5:$A$2020,"&gt;="&amp;DATE(2026,M$5,1),'3. 5기 수입지출장부'!$A$5:$A$2020,"&lt;"&amp;DATE(2026,M$5+1,1),'3. 5기 수입지출장부'!$E$5:$E$2020,"&gt;0")&gt;0,"■","")</f>
        <v>■</v>
      </c>
      <c r="N23" s="9" t="str">
        <f>IF(COUNTIFS('3. 5기 수입지출장부'!$C$5:$C$2020,$C22,'3. 5기 수입지출장부'!$A$5:$A$2020,"&gt;="&amp;DATE(2026,N$5,1),'3. 5기 수입지출장부'!$A$5:$A$2020,"&lt;"&amp;DATE(2026,N$5+1,1),'3. 5기 수입지출장부'!$E$5:$E$2020,"&gt;0")&gt;0,"■","")</f>
        <v>■</v>
      </c>
      <c r="O23" s="9" t="str">
        <f>IF(COUNTIFS('3. 5기 수입지출장부'!$C$5:$C$2020,$C22,'3. 5기 수입지출장부'!$A$5:$A$2020,"&gt;="&amp;DATE(2026,O$5,1),'3. 5기 수입지출장부'!$A$5:$A$2020,"&lt;"&amp;DATE(2026,O$5+1,1),'3. 5기 수입지출장부'!$E$5:$E$2020,"&gt;0")&gt;0,"■","")</f>
        <v/>
      </c>
      <c r="P23" s="9" t="str">
        <f>IF(COUNTIFS('3. 5기 수입지출장부'!$C$5:$C$2020,$C22,'3. 5기 수입지출장부'!$A$5:$A$2020,"&gt;="&amp;DATE(2026,P$5,1),'3. 5기 수입지출장부'!$A$5:$A$2020,"&lt;"&amp;DATE(2026,P$5+1,1),'3. 5기 수입지출장부'!$E$5:$E$2020,"&gt;0")&gt;0,"■","")</f>
        <v/>
      </c>
      <c r="Q23" s="205">
        <f>'3. 5기 수입지출장부'!E218</f>
        <v>3585660</v>
      </c>
      <c r="R23" s="206"/>
      <c r="S23" s="195"/>
      <c r="T23" s="195"/>
      <c r="U23" s="3"/>
      <c r="V23" s="3"/>
      <c r="W23" s="3"/>
      <c r="X23" s="191"/>
      <c r="Y23" s="178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87"/>
      <c r="AN23" s="179"/>
      <c r="AO23" s="184"/>
      <c r="AP23" s="178"/>
    </row>
    <row r="24" spans="1:42" ht="24.75" customHeight="1">
      <c r="A24" s="3"/>
      <c r="B24" s="217">
        <v>10</v>
      </c>
      <c r="C24" s="207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182">
        <f>'2. 5기_예산목간'!D39</f>
        <v>8000000</v>
      </c>
      <c r="R24" s="183"/>
      <c r="S24" s="199">
        <f>Q25/Q24</f>
        <v>0.43275000000000002</v>
      </c>
      <c r="T24" s="192" t="s">
        <v>289</v>
      </c>
      <c r="U24" s="3"/>
      <c r="V24" s="3"/>
      <c r="W24" s="3"/>
      <c r="X24" s="179"/>
      <c r="Y24" s="179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0"/>
      <c r="AN24" s="179"/>
      <c r="AO24" s="179"/>
      <c r="AP24" s="179"/>
    </row>
    <row r="25" spans="1:42" ht="24.75" customHeight="1">
      <c r="A25" s="3"/>
      <c r="B25" s="204"/>
      <c r="C25" s="208"/>
      <c r="D25" s="14" t="s">
        <v>280</v>
      </c>
      <c r="E25" s="14" t="str">
        <f>IF(COUNTIFS('3. 5기 수입지출장부'!$C$5:$C$2020,$C24,'3. 5기 수입지출장부'!$A$5:$A$2020,"&gt;="&amp;DATE(2026,E$5,1),'3. 5기 수입지출장부'!$A$5:$A$2020,"&lt;"&amp;DATE(2026,E$5+1,1),'3. 5기 수입지출장부'!$E$5:$E$2020,"&gt;0")&gt;0,"■","")</f>
        <v/>
      </c>
      <c r="F25" s="14" t="str">
        <f>IF(COUNTIFS('3. 5기 수입지출장부'!$C$5:$C$2020,$C24,'3. 5기 수입지출장부'!$A$5:$A$2020,"&gt;="&amp;DATE(2026,F$5,1),'3. 5기 수입지출장부'!$A$5:$A$2020,"&lt;"&amp;DATE(2026,F$5+1,1),'3. 5기 수입지출장부'!$E$5:$E$2020,"&gt;0")&gt;0,"■","")</f>
        <v/>
      </c>
      <c r="G25" s="9" t="str">
        <f>IF(COUNTIFS('3. 5기 수입지출장부'!$C$5:$C$2020,$C24,'3. 5기 수입지출장부'!$A$5:$A$2020,"&gt;="&amp;DATE(2026,G$5,1),'3. 5기 수입지출장부'!$A$5:$A$2020,"&lt;"&amp;DATE(2026,G$5+1,1),'3. 5기 수입지출장부'!$E$5:$E$2020,"&gt;0")&gt;0,"■","")</f>
        <v>■</v>
      </c>
      <c r="H25" s="9" t="str">
        <f>IF(COUNTIFS('3. 5기 수입지출장부'!$C$5:$C$2020,$C24,'3. 5기 수입지출장부'!$A$5:$A$2020,"&gt;="&amp;DATE(2026,H$5,1),'3. 5기 수입지출장부'!$A$5:$A$2020,"&lt;"&amp;DATE(2026,H$5+1,1),'3. 5기 수입지출장부'!$E$5:$E$2020,"&gt;0")&gt;0,"■","")</f>
        <v>■</v>
      </c>
      <c r="I25" s="9" t="str">
        <f>IF(COUNTIFS('3. 5기 수입지출장부'!$C$5:$C$2020,$C24,'3. 5기 수입지출장부'!$A$5:$A$2020,"&gt;="&amp;DATE(2026,I$5,1),'3. 5기 수입지출장부'!$A$5:$A$2020,"&lt;"&amp;DATE(2026,I$5+1,1),'3. 5기 수입지출장부'!$E$5:$E$2020,"&gt;0")&gt;0,"■","")</f>
        <v>■</v>
      </c>
      <c r="J25" s="9" t="str">
        <f>IF(COUNTIFS('3. 5기 수입지출장부'!$C$5:$C$2020,$C24,'3. 5기 수입지출장부'!$A$5:$A$2020,"&gt;="&amp;DATE(2026,J$5,1),'3. 5기 수입지출장부'!$A$5:$A$2020,"&lt;"&amp;DATE(2026,J$5+1,1),'3. 5기 수입지출장부'!$E$5:$E$2020,"&gt;0")&gt;0,"■","")</f>
        <v/>
      </c>
      <c r="K25" s="9" t="str">
        <f>IF(COUNTIFS('3. 5기 수입지출장부'!$C$5:$C$2020,$C24,'3. 5기 수입지출장부'!$A$5:$A$2020,"&gt;="&amp;DATE(2026,K$5,1),'3. 5기 수입지출장부'!$A$5:$A$2020,"&lt;"&amp;DATE(2026,K$5+1,1),'3. 5기 수입지출장부'!$E$5:$E$2020,"&gt;0")&gt;0,"■","")</f>
        <v>■</v>
      </c>
      <c r="L25" s="9" t="str">
        <f>IF(COUNTIFS('3. 5기 수입지출장부'!$C$5:$C$2020,$C24,'3. 5기 수입지출장부'!$A$5:$A$2020,"&gt;="&amp;DATE(2026,L$5,1),'3. 5기 수입지출장부'!$A$5:$A$2020,"&lt;"&amp;DATE(2026,L$5+1,1),'3. 5기 수입지출장부'!$E$5:$E$2020,"&gt;0")&gt;0,"■","")</f>
        <v>■</v>
      </c>
      <c r="M25" s="9" t="str">
        <f>IF(COUNTIFS('3. 5기 수입지출장부'!$C$5:$C$2020,$C24,'3. 5기 수입지출장부'!$A$5:$A$2020,"&gt;="&amp;DATE(2026,M$5,1),'3. 5기 수입지출장부'!$A$5:$A$2020,"&lt;"&amp;DATE(2026,M$5+1,1),'3. 5기 수입지출장부'!$E$5:$E$2020,"&gt;0")&gt;0,"■","")</f>
        <v>■</v>
      </c>
      <c r="N25" s="9" t="str">
        <f>IF(COUNTIFS('3. 5기 수입지출장부'!$C$5:$C$2020,$C24,'3. 5기 수입지출장부'!$A$5:$A$2020,"&gt;="&amp;DATE(2026,N$5,1),'3. 5기 수입지출장부'!$A$5:$A$2020,"&lt;"&amp;DATE(2026,N$5+1,1),'3. 5기 수입지출장부'!$E$5:$E$2020,"&gt;0")&gt;0,"■","")</f>
        <v>■</v>
      </c>
      <c r="O25" s="9" t="str">
        <f>IF(COUNTIFS('3. 5기 수입지출장부'!$C$5:$C$2020,$C24,'3. 5기 수입지출장부'!$A$5:$A$2020,"&gt;="&amp;DATE(2026,O$5,1),'3. 5기 수입지출장부'!$A$5:$A$2020,"&lt;"&amp;DATE(2026,O$5+1,1),'3. 5기 수입지출장부'!$E$5:$E$2020,"&gt;0")&gt;0,"■","")</f>
        <v/>
      </c>
      <c r="P25" s="9" t="str">
        <f>IF(COUNTIFS('3. 5기 수입지출장부'!$C$5:$C$2020,$C24,'3. 5기 수입지출장부'!$A$5:$A$2020,"&gt;="&amp;DATE(2026,P$5,1),'3. 5기 수입지출장부'!$A$5:$A$2020,"&lt;"&amp;DATE(2026,P$5+1,1),'3. 5기 수입지출장부'!$E$5:$E$2020,"&gt;0")&gt;0,"■","")</f>
        <v/>
      </c>
      <c r="Q25" s="205">
        <f>'3. 5기 수입지출장부'!E219</f>
        <v>3462000</v>
      </c>
      <c r="R25" s="206"/>
      <c r="S25" s="195"/>
      <c r="T25" s="193"/>
      <c r="U25" s="3"/>
      <c r="V25" s="3"/>
      <c r="W25" s="13"/>
      <c r="X25" s="191"/>
      <c r="Y25" s="178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87"/>
      <c r="AN25" s="179"/>
      <c r="AO25" s="184"/>
      <c r="AP25" s="178"/>
    </row>
    <row r="26" spans="1:42" ht="24.75" customHeight="1">
      <c r="A26" s="3"/>
      <c r="B26" s="217">
        <f>B24+1</f>
        <v>11</v>
      </c>
      <c r="C26" s="207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82">
        <f>'2. 5기_예산목간'!D40</f>
        <v>300000</v>
      </c>
      <c r="R26" s="183"/>
      <c r="S26" s="199">
        <f>Q27/Q26</f>
        <v>0</v>
      </c>
      <c r="T26" s="194" t="s">
        <v>283</v>
      </c>
      <c r="U26" s="3"/>
      <c r="V26" s="3"/>
      <c r="W26" s="13"/>
      <c r="X26" s="179"/>
      <c r="Y26" s="17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0"/>
      <c r="AN26" s="179"/>
      <c r="AO26" s="179"/>
      <c r="AP26" s="179"/>
    </row>
    <row r="27" spans="1:42" ht="24.75" customHeight="1">
      <c r="A27" s="3"/>
      <c r="B27" s="204"/>
      <c r="C27" s="208"/>
      <c r="D27" s="14" t="s">
        <v>280</v>
      </c>
      <c r="E27" s="14" t="str">
        <f>IF(COUNTIFS('3. 5기 수입지출장부'!$C$5:$C$2020,$C26,'3. 5기 수입지출장부'!$A$5:$A$2020,"&gt;="&amp;DATE(2026,E$5,1),'3. 5기 수입지출장부'!$A$5:$A$2020,"&lt;"&amp;DATE(2026,E$5+1,1),'3. 5기 수입지출장부'!$E$5:$E$2020,"&gt;0")&gt;0,"■","")</f>
        <v/>
      </c>
      <c r="F27" s="14" t="str">
        <f>IF(COUNTIFS('3. 5기 수입지출장부'!$C$5:$C$2020,$C26,'3. 5기 수입지출장부'!$A$5:$A$2020,"&gt;="&amp;DATE(2026,F$5,1),'3. 5기 수입지출장부'!$A$5:$A$2020,"&lt;"&amp;DATE(2026,F$5+1,1),'3. 5기 수입지출장부'!$E$5:$E$2020,"&gt;0")&gt;0,"■","")</f>
        <v/>
      </c>
      <c r="G27" s="14" t="str">
        <f>IF(COUNTIFS('3. 5기 수입지출장부'!$C$5:$C$2020,$C26,'3. 5기 수입지출장부'!$A$5:$A$2020,"&gt;="&amp;DATE(2026,G$5,1),'3. 5기 수입지출장부'!$A$5:$A$2020,"&lt;"&amp;DATE(2026,G$5+1,1),'3. 5기 수입지출장부'!$E$5:$E$2020,"&gt;0")&gt;0,"■","")</f>
        <v/>
      </c>
      <c r="H27" s="14" t="str">
        <f>IF(COUNTIFS('3. 5기 수입지출장부'!$C$5:$C$2020,$C26,'3. 5기 수입지출장부'!$A$5:$A$2020,"&gt;="&amp;DATE(2026,H$5,1),'3. 5기 수입지출장부'!$A$5:$A$2020,"&lt;"&amp;DATE(2026,H$5+1,1),'3. 5기 수입지출장부'!$E$5:$E$2020,"&gt;0")&gt;0,"■","")</f>
        <v/>
      </c>
      <c r="I27" s="14" t="str">
        <f>IF(COUNTIFS('3. 5기 수입지출장부'!$C$5:$C$2020,$C26,'3. 5기 수입지출장부'!$A$5:$A$2020,"&gt;="&amp;DATE(2026,I$5,1),'3. 5기 수입지출장부'!$A$5:$A$2020,"&lt;"&amp;DATE(2026,I$5+1,1),'3. 5기 수입지출장부'!$E$5:$E$2020,"&gt;0")&gt;0,"■","")</f>
        <v/>
      </c>
      <c r="J27" s="14" t="str">
        <f>IF(COUNTIFS('3. 5기 수입지출장부'!$C$5:$C$2020,$C26,'3. 5기 수입지출장부'!$A$5:$A$2020,"&gt;="&amp;DATE(2026,J$5,1),'3. 5기 수입지출장부'!$A$5:$A$2020,"&lt;"&amp;DATE(2026,J$5+1,1),'3. 5기 수입지출장부'!$E$5:$E$2020,"&gt;0")&gt;0,"■","")</f>
        <v/>
      </c>
      <c r="K27" s="14" t="str">
        <f>IF(COUNTIFS('3. 5기 수입지출장부'!$C$5:$C$2020,$C26,'3. 5기 수입지출장부'!$A$5:$A$2020,"&gt;="&amp;DATE(2026,K$5,1),'3. 5기 수입지출장부'!$A$5:$A$2020,"&lt;"&amp;DATE(2026,K$5+1,1),'3. 5기 수입지출장부'!$E$5:$E$2020,"&gt;0")&gt;0,"■","")</f>
        <v/>
      </c>
      <c r="L27" s="14" t="str">
        <f>IF(COUNTIFS('3. 5기 수입지출장부'!$C$5:$C$2020,$C26,'3. 5기 수입지출장부'!$A$5:$A$2020,"&gt;="&amp;DATE(2026,L$5,1),'3. 5기 수입지출장부'!$A$5:$A$2020,"&lt;"&amp;DATE(2026,L$5+1,1),'3. 5기 수입지출장부'!$E$5:$E$2020,"&gt;0")&gt;0,"■","")</f>
        <v/>
      </c>
      <c r="M27" s="14" t="str">
        <f>IF(COUNTIFS('3. 5기 수입지출장부'!$C$5:$C$2020,$C26,'3. 5기 수입지출장부'!$A$5:$A$2020,"&gt;="&amp;DATE(2026,M$5,1),'3. 5기 수입지출장부'!$A$5:$A$2020,"&lt;"&amp;DATE(2026,M$5+1,1),'3. 5기 수입지출장부'!$E$5:$E$2020,"&gt;0")&gt;0,"■","")</f>
        <v/>
      </c>
      <c r="N27" s="14" t="str">
        <f>IF(COUNTIFS('3. 5기 수입지출장부'!$C$5:$C$2020,$C26,'3. 5기 수입지출장부'!$A$5:$A$2020,"&gt;="&amp;DATE(2026,N$5,1),'3. 5기 수입지출장부'!$A$5:$A$2020,"&lt;"&amp;DATE(2026,N$5+1,1),'3. 5기 수입지출장부'!$E$5:$E$2020,"&gt;0")&gt;0,"■","")</f>
        <v/>
      </c>
      <c r="O27" s="14" t="str">
        <f>IF(COUNTIFS('3. 5기 수입지출장부'!$C$5:$C$2020,$C26,'3. 5기 수입지출장부'!$A$5:$A$2020,"&gt;="&amp;DATE(2026,O$5,1),'3. 5기 수입지출장부'!$A$5:$A$2020,"&lt;"&amp;DATE(2026,O$5+1,1),'3. 5기 수입지출장부'!$E$5:$E$2020,"&gt;0")&gt;0,"■","")</f>
        <v/>
      </c>
      <c r="P27" s="9" t="str">
        <f>IF(COUNTIFS('3. 5기 수입지출장부'!$C$5:$C$2020,$C26,'3. 5기 수입지출장부'!$A$5:$A$2020,"&gt;="&amp;DATE(2026,P$5,1),'3. 5기 수입지출장부'!$A$5:$A$2020,"&lt;"&amp;DATE(2026,P$5+1,1),'3. 5기 수입지출장부'!$E$5:$E$2020,"&gt;0")&gt;0,"■","")</f>
        <v/>
      </c>
      <c r="Q27" s="205">
        <f>'3. 5기 수입지출장부'!E220</f>
        <v>0</v>
      </c>
      <c r="R27" s="206"/>
      <c r="S27" s="195"/>
      <c r="T27" s="195"/>
      <c r="U27" s="3"/>
      <c r="V27" s="3"/>
      <c r="W27" s="3"/>
      <c r="X27" s="191"/>
      <c r="Y27" s="178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87"/>
      <c r="AN27" s="179"/>
      <c r="AO27" s="184"/>
      <c r="AP27" s="178"/>
    </row>
    <row r="28" spans="1:42" ht="24.75" customHeight="1">
      <c r="A28" s="3"/>
      <c r="B28" s="217">
        <v>12</v>
      </c>
      <c r="C28" s="207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82">
        <f>'2. 5기_예산목간'!D41</f>
        <v>4000000</v>
      </c>
      <c r="R28" s="183"/>
      <c r="S28" s="199">
        <f>Q29/Q28</f>
        <v>0</v>
      </c>
      <c r="T28" s="194" t="s">
        <v>289</v>
      </c>
      <c r="U28" s="3"/>
      <c r="V28" s="3"/>
      <c r="W28" s="3"/>
      <c r="X28" s="179"/>
      <c r="Y28" s="17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0"/>
      <c r="AN28" s="179"/>
      <c r="AO28" s="179"/>
      <c r="AP28" s="179"/>
    </row>
    <row r="29" spans="1:42" ht="24.75" customHeight="1">
      <c r="A29" s="3"/>
      <c r="B29" s="204"/>
      <c r="C29" s="208"/>
      <c r="D29" s="14" t="s">
        <v>280</v>
      </c>
      <c r="E29" s="14" t="str">
        <f>IF(COUNTIFS('3. 5기 수입지출장부'!$C$5:$C$2020,$C28,'3. 5기 수입지출장부'!$A$5:$A$2020,"&gt;="&amp;DATE(2026,E$5,1),'3. 5기 수입지출장부'!$A$5:$A$2020,"&lt;"&amp;DATE(2026,E$5+1,1),'3. 5기 수입지출장부'!$E$5:$E$2020,"&gt;0")&gt;0,"■","")</f>
        <v/>
      </c>
      <c r="F29" s="14" t="str">
        <f>IF(COUNTIFS('3. 5기 수입지출장부'!$C$5:$C$2020,$C28,'3. 5기 수입지출장부'!$A$5:$A$2020,"&gt;="&amp;DATE(2026,F$5,1),'3. 5기 수입지출장부'!$A$5:$A$2020,"&lt;"&amp;DATE(2026,F$5+1,1),'3. 5기 수입지출장부'!$E$5:$E$2020,"&gt;0")&gt;0,"■","")</f>
        <v/>
      </c>
      <c r="G29" s="14" t="str">
        <f>IF(COUNTIFS('3. 5기 수입지출장부'!$C$5:$C$2020,$C28,'3. 5기 수입지출장부'!$A$5:$A$2020,"&gt;="&amp;DATE(2026,G$5,1),'3. 5기 수입지출장부'!$A$5:$A$2020,"&lt;"&amp;DATE(2026,G$5+1,1),'3. 5기 수입지출장부'!$E$5:$E$2020,"&gt;0")&gt;0,"■","")</f>
        <v/>
      </c>
      <c r="H29" s="14" t="str">
        <f>IF(COUNTIFS('3. 5기 수입지출장부'!$C$5:$C$2020,$C28,'3. 5기 수입지출장부'!$A$5:$A$2020,"&gt;="&amp;DATE(2026,H$5,1),'3. 5기 수입지출장부'!$A$5:$A$2020,"&lt;"&amp;DATE(2026,H$5+1,1),'3. 5기 수입지출장부'!$E$5:$E$2020,"&gt;0")&gt;0,"■","")</f>
        <v/>
      </c>
      <c r="I29" s="14" t="str">
        <f>IF(COUNTIFS('3. 5기 수입지출장부'!$C$5:$C$2020,$C28,'3. 5기 수입지출장부'!$A$5:$A$2020,"&gt;="&amp;DATE(2026,I$5,1),'3. 5기 수입지출장부'!$A$5:$A$2020,"&lt;"&amp;DATE(2026,I$5+1,1),'3. 5기 수입지출장부'!$E$5:$E$2020,"&gt;0")&gt;0,"■","")</f>
        <v/>
      </c>
      <c r="J29" s="14" t="str">
        <f>IF(COUNTIFS('3. 5기 수입지출장부'!$C$5:$C$2020,$C28,'3. 5기 수입지출장부'!$A$5:$A$2020,"&gt;="&amp;DATE(2026,J$5,1),'3. 5기 수입지출장부'!$A$5:$A$2020,"&lt;"&amp;DATE(2026,J$5+1,1),'3. 5기 수입지출장부'!$E$5:$E$2020,"&gt;0")&gt;0,"■","")</f>
        <v/>
      </c>
      <c r="K29" s="14" t="str">
        <f>IF(COUNTIFS('3. 5기 수입지출장부'!$C$5:$C$2020,$C28,'3. 5기 수입지출장부'!$A$5:$A$2020,"&gt;="&amp;DATE(2026,K$5,1),'3. 5기 수입지출장부'!$A$5:$A$2020,"&lt;"&amp;DATE(2026,K$5+1,1),'3. 5기 수입지출장부'!$E$5:$E$2020,"&gt;0")&gt;0,"■","")</f>
        <v/>
      </c>
      <c r="L29" s="14" t="str">
        <f>IF(COUNTIFS('3. 5기 수입지출장부'!$C$5:$C$2020,$C28,'3. 5기 수입지출장부'!$A$5:$A$2020,"&gt;="&amp;DATE(2026,L$5,1),'3. 5기 수입지출장부'!$A$5:$A$2020,"&lt;"&amp;DATE(2026,L$5+1,1),'3. 5기 수입지출장부'!$E$5:$E$2020,"&gt;0")&gt;0,"■","")</f>
        <v/>
      </c>
      <c r="M29" s="9" t="str">
        <f>IF(COUNTIFS('3. 5기 수입지출장부'!$C$5:$C$2020,$C28,'3. 5기 수입지출장부'!$A$5:$A$2020,"&gt;="&amp;DATE(2026,M$5,1),'3. 5기 수입지출장부'!$A$5:$A$2020,"&lt;"&amp;DATE(2026,M$5+1,1),'3. 5기 수입지출장부'!$E$5:$E$2020,"&gt;0")&gt;0,"■","")</f>
        <v/>
      </c>
      <c r="N29" s="9" t="str">
        <f>IF(COUNTIFS('3. 5기 수입지출장부'!$C$5:$C$2020,$C28,'3. 5기 수입지출장부'!$A$5:$A$2020,"&gt;="&amp;DATE(2026,N$5,1),'3. 5기 수입지출장부'!$A$5:$A$2020,"&lt;"&amp;DATE(2026,N$5+1,1),'3. 5기 수입지출장부'!$E$5:$E$2020,"&gt;0")&gt;0,"■","")</f>
        <v/>
      </c>
      <c r="O29" s="21" t="str">
        <f>IF(COUNTIFS('3. 5기 수입지출장부'!$C$5:$C$2020,$C28,'3. 5기 수입지출장부'!$A$5:$A$2020,"&gt;="&amp;DATE(2026,O$5,1),'3. 5기 수입지출장부'!$A$5:$A$2020,"&lt;"&amp;DATE(2026,O$5+1,1),'3. 5기 수입지출장부'!$E$5:$E$2020,"&gt;0")&gt;0,"■","")</f>
        <v/>
      </c>
      <c r="P29" s="14" t="str">
        <f>IF(COUNTIFS('3. 5기 수입지출장부'!$C$5:$C$2020,$C28,'3. 5기 수입지출장부'!$A$5:$A$2020,"&gt;="&amp;DATE(2026,P$5,1),'3. 5기 수입지출장부'!$A$5:$A$2020,"&lt;"&amp;DATE(2026,P$5+1,1),'3. 5기 수입지출장부'!$E$5:$E$2020,"&gt;0")&gt;0,"■","")</f>
        <v/>
      </c>
      <c r="Q29" s="205">
        <f>'3. 5기 수입지출장부'!E221</f>
        <v>0</v>
      </c>
      <c r="R29" s="206"/>
      <c r="S29" s="195"/>
      <c r="T29" s="195"/>
      <c r="U29" s="3"/>
      <c r="V29" s="3"/>
      <c r="W29" s="3"/>
      <c r="X29" s="191"/>
      <c r="Y29" s="178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87"/>
      <c r="AN29" s="179"/>
      <c r="AO29" s="184"/>
      <c r="AP29" s="178"/>
    </row>
    <row r="30" spans="1:42" ht="24.75" customHeight="1">
      <c r="A30" s="3"/>
      <c r="B30" s="203">
        <v>13</v>
      </c>
      <c r="C30" s="207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82">
        <f>'2. 5기_예산목간'!D42</f>
        <v>2300000</v>
      </c>
      <c r="R30" s="183"/>
      <c r="S30" s="199">
        <f>Q31/Q30</f>
        <v>0</v>
      </c>
      <c r="T30" s="194" t="s">
        <v>289</v>
      </c>
      <c r="U30" s="3"/>
      <c r="V30" s="3"/>
      <c r="W30" s="3"/>
      <c r="X30" s="179"/>
      <c r="Y30" s="17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90"/>
      <c r="AN30" s="179"/>
      <c r="AO30" s="179"/>
      <c r="AP30" s="179"/>
    </row>
    <row r="31" spans="1:42" ht="24.75" customHeight="1">
      <c r="A31" s="3"/>
      <c r="B31" s="204"/>
      <c r="C31" s="208"/>
      <c r="D31" s="14" t="s">
        <v>280</v>
      </c>
      <c r="E31" s="14" t="str">
        <f>IF(COUNTIFS('3. 5기 수입지출장부'!$C$5:$C$2020,$C30,'3. 5기 수입지출장부'!$A$5:$A$2020,"&gt;="&amp;DATE(2026,E$5,1),'3. 5기 수입지출장부'!$A$5:$A$2020,"&lt;"&amp;DATE(2026,E$5+1,1),'3. 5기 수입지출장부'!$E$5:$E$2020,"&gt;0")&gt;0,"■","")</f>
        <v/>
      </c>
      <c r="F31" s="14" t="str">
        <f>IF(COUNTIFS('3. 5기 수입지출장부'!$C$5:$C$2020,$C30,'3. 5기 수입지출장부'!$A$5:$A$2020,"&gt;="&amp;DATE(2026,F$5,1),'3. 5기 수입지출장부'!$A$5:$A$2020,"&lt;"&amp;DATE(2026,F$5+1,1),'3. 5기 수입지출장부'!$E$5:$E$2020,"&gt;0")&gt;0,"■","")</f>
        <v/>
      </c>
      <c r="G31" s="14" t="str">
        <f>IF(COUNTIFS('3. 5기 수입지출장부'!$C$5:$C$2020,$C30,'3. 5기 수입지출장부'!$A$5:$A$2020,"&gt;="&amp;DATE(2026,G$5,1),'3. 5기 수입지출장부'!$A$5:$A$2020,"&lt;"&amp;DATE(2026,G$5+1,1),'3. 5기 수입지출장부'!$E$5:$E$2020,"&gt;0")&gt;0,"■","")</f>
        <v/>
      </c>
      <c r="H31" s="14" t="str">
        <f>IF(COUNTIFS('3. 5기 수입지출장부'!$C$5:$C$2020,$C30,'3. 5기 수입지출장부'!$A$5:$A$2020,"&gt;="&amp;DATE(2026,H$5,1),'3. 5기 수입지출장부'!$A$5:$A$2020,"&lt;"&amp;DATE(2026,H$5+1,1),'3. 5기 수입지출장부'!$E$5:$E$2020,"&gt;0")&gt;0,"■","")</f>
        <v/>
      </c>
      <c r="I31" s="9" t="str">
        <f>IF(COUNTIFS('3. 5기 수입지출장부'!$C$5:$C$2020,$C30,'3. 5기 수입지출장부'!$A$5:$A$2020,"&gt;="&amp;DATE(2026,I$5,1),'3. 5기 수입지출장부'!$A$5:$A$2020,"&lt;"&amp;DATE(2026,I$5+1,1),'3. 5기 수입지출장부'!$E$5:$E$2020,"&gt;0")&gt;0,"■","")</f>
        <v/>
      </c>
      <c r="J31" s="9" t="str">
        <f>IF(COUNTIFS('3. 5기 수입지출장부'!$C$5:$C$2020,$C30,'3. 5기 수입지출장부'!$A$5:$A$2020,"&gt;="&amp;DATE(2026,J$5,1),'3. 5기 수입지출장부'!$A$5:$A$2020,"&lt;"&amp;DATE(2026,J$5+1,1),'3. 5기 수입지출장부'!$E$5:$E$2020,"&gt;0")&gt;0,"■","")</f>
        <v/>
      </c>
      <c r="K31" s="14" t="str">
        <f>IF(COUNTIFS('3. 5기 수입지출장부'!$C$5:$C$2020,$C30,'3. 5기 수입지출장부'!$A$5:$A$2020,"&gt;="&amp;DATE(2026,K$5,1),'3. 5기 수입지출장부'!$A$5:$A$2020,"&lt;"&amp;DATE(2026,K$5+1,1),'3. 5기 수입지출장부'!$E$5:$E$2020,"&gt;0")&gt;0,"■","")</f>
        <v/>
      </c>
      <c r="L31" s="14" t="str">
        <f>IF(COUNTIFS('3. 5기 수입지출장부'!$C$5:$C$2020,$C30,'3. 5기 수입지출장부'!$A$5:$A$2020,"&gt;="&amp;DATE(2026,L$5,1),'3. 5기 수입지출장부'!$A$5:$A$2020,"&lt;"&amp;DATE(2026,L$5+1,1),'3. 5기 수입지출장부'!$E$5:$E$2020,"&gt;0")&gt;0,"■","")</f>
        <v/>
      </c>
      <c r="M31" s="14" t="str">
        <f>IF(COUNTIFS('3. 5기 수입지출장부'!$C$5:$C$2020,$C30,'3. 5기 수입지출장부'!$A$5:$A$2020,"&gt;="&amp;DATE(2026,M$5,1),'3. 5기 수입지출장부'!$A$5:$A$2020,"&lt;"&amp;DATE(2026,M$5+1,1),'3. 5기 수입지출장부'!$E$5:$E$2020,"&gt;0")&gt;0,"■","")</f>
        <v/>
      </c>
      <c r="N31" s="14" t="str">
        <f>IF(COUNTIFS('3. 5기 수입지출장부'!$C$5:$C$2020,$C30,'3. 5기 수입지출장부'!$A$5:$A$2020,"&gt;="&amp;DATE(2026,N$5,1),'3. 5기 수입지출장부'!$A$5:$A$2020,"&lt;"&amp;DATE(2026,N$5+1,1),'3. 5기 수입지출장부'!$E$5:$E$2020,"&gt;0")&gt;0,"■","")</f>
        <v/>
      </c>
      <c r="O31" s="21" t="str">
        <f>IF(COUNTIFS('3. 5기 수입지출장부'!$C$5:$C$2020,$C30,'3. 5기 수입지출장부'!$A$5:$A$2020,"&gt;="&amp;DATE(2026,O$5,1),'3. 5기 수입지출장부'!$A$5:$A$2020,"&lt;"&amp;DATE(2026,O$5+1,1),'3. 5기 수입지출장부'!$E$5:$E$2020,"&gt;0")&gt;0,"■","")</f>
        <v/>
      </c>
      <c r="P31" s="14" t="str">
        <f>IF(COUNTIFS('3. 5기 수입지출장부'!$C$5:$C$2020,$C30,'3. 5기 수입지출장부'!$A$5:$A$2020,"&gt;="&amp;DATE(2026,P$5,1),'3. 5기 수입지출장부'!$A$5:$A$2020,"&lt;"&amp;DATE(2026,P$5+1,1),'3. 5기 수입지출장부'!$E$5:$E$2020,"&gt;0")&gt;0,"■","")</f>
        <v/>
      </c>
      <c r="Q31" s="205">
        <f>'3. 5기 수입지출장부'!E222</f>
        <v>0</v>
      </c>
      <c r="R31" s="206"/>
      <c r="S31" s="195"/>
      <c r="T31" s="195"/>
      <c r="U31" s="3"/>
      <c r="V31" s="3"/>
      <c r="W31" s="3"/>
      <c r="X31" s="191"/>
      <c r="Y31" s="178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87"/>
      <c r="AN31" s="179"/>
      <c r="AO31" s="184"/>
      <c r="AP31" s="178"/>
    </row>
    <row r="32" spans="1:42" ht="24.75" customHeight="1">
      <c r="A32" s="3"/>
      <c r="B32" s="217">
        <v>14</v>
      </c>
      <c r="C32" s="207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82">
        <f>'2. 5기_예산목간'!D43</f>
        <v>0</v>
      </c>
      <c r="R32" s="183"/>
      <c r="S32" s="199"/>
      <c r="T32" s="194" t="s">
        <v>289</v>
      </c>
      <c r="U32" s="3"/>
      <c r="V32" s="3"/>
      <c r="W32" s="3"/>
      <c r="X32" s="179"/>
      <c r="Y32" s="17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0"/>
      <c r="AN32" s="179"/>
      <c r="AO32" s="179"/>
      <c r="AP32" s="179"/>
    </row>
    <row r="33" spans="1:42" ht="24.75" customHeight="1">
      <c r="A33" s="3"/>
      <c r="B33" s="204"/>
      <c r="C33" s="208"/>
      <c r="D33" s="14" t="s">
        <v>280</v>
      </c>
      <c r="E33" s="14" t="str">
        <f>IF(COUNTIFS('3. 5기 수입지출장부'!$C$5:$C$2020,$C32,'3. 5기 수입지출장부'!$A$5:$A$2020,"&gt;="&amp;DATE(2026,E$5,1),'3. 5기 수입지출장부'!$A$5:$A$2020,"&lt;"&amp;DATE(2026,E$5+1,1),'3. 5기 수입지출장부'!$E$5:$E$2020,"&gt;0")&gt;0,"■","")</f>
        <v/>
      </c>
      <c r="F33" s="14" t="str">
        <f>IF(COUNTIFS('3. 5기 수입지출장부'!$C$5:$C$2020,$C32,'3. 5기 수입지출장부'!$A$5:$A$2020,"&gt;="&amp;DATE(2026,F$5,1),'3. 5기 수입지출장부'!$A$5:$A$2020,"&lt;"&amp;DATE(2026,F$5+1,1),'3. 5기 수입지출장부'!$E$5:$E$2020,"&gt;0")&gt;0,"■","")</f>
        <v/>
      </c>
      <c r="G33" s="14" t="str">
        <f>IF(COUNTIFS('3. 5기 수입지출장부'!$C$5:$C$2020,$C32,'3. 5기 수입지출장부'!$A$5:$A$2020,"&gt;="&amp;DATE(2026,G$5,1),'3. 5기 수입지출장부'!$A$5:$A$2020,"&lt;"&amp;DATE(2026,G$5+1,1),'3. 5기 수입지출장부'!$E$5:$E$2020,"&gt;0")&gt;0,"■","")</f>
        <v/>
      </c>
      <c r="H33" s="14" t="str">
        <f>IF(COUNTIFS('3. 5기 수입지출장부'!$C$5:$C$2020,$C32,'3. 5기 수입지출장부'!$A$5:$A$2020,"&gt;="&amp;DATE(2026,H$5,1),'3. 5기 수입지출장부'!$A$5:$A$2020,"&lt;"&amp;DATE(2026,H$5+1,1),'3. 5기 수입지출장부'!$E$5:$E$2020,"&gt;0")&gt;0,"■","")</f>
        <v/>
      </c>
      <c r="I33" s="14" t="str">
        <f>IF(COUNTIFS('3. 5기 수입지출장부'!$C$5:$C$2020,$C32,'3. 5기 수입지출장부'!$A$5:$A$2020,"&gt;="&amp;DATE(2026,I$5,1),'3. 5기 수입지출장부'!$A$5:$A$2020,"&lt;"&amp;DATE(2026,I$5+1,1),'3. 5기 수입지출장부'!$E$5:$E$2020,"&gt;0")&gt;0,"■","")</f>
        <v/>
      </c>
      <c r="J33" s="14" t="str">
        <f>IF(COUNTIFS('3. 5기 수입지출장부'!$C$5:$C$2020,$C32,'3. 5기 수입지출장부'!$A$5:$A$2020,"&gt;="&amp;DATE(2026,J$5,1),'3. 5기 수입지출장부'!$A$5:$A$2020,"&lt;"&amp;DATE(2026,J$5+1,1),'3. 5기 수입지출장부'!$E$5:$E$2020,"&gt;0")&gt;0,"■","")</f>
        <v/>
      </c>
      <c r="K33" s="14" t="str">
        <f>IF(COUNTIFS('3. 5기 수입지출장부'!$C$5:$C$2020,$C32,'3. 5기 수입지출장부'!$A$5:$A$2020,"&gt;="&amp;DATE(2026,K$5,1),'3. 5기 수입지출장부'!$A$5:$A$2020,"&lt;"&amp;DATE(2026,K$5+1,1),'3. 5기 수입지출장부'!$E$5:$E$2020,"&gt;0")&gt;0,"■","")</f>
        <v/>
      </c>
      <c r="L33" s="14" t="str">
        <f>IF(COUNTIFS('3. 5기 수입지출장부'!$C$5:$C$2020,$C32,'3. 5기 수입지출장부'!$A$5:$A$2020,"&gt;="&amp;DATE(2026,L$5,1),'3. 5기 수입지출장부'!$A$5:$A$2020,"&lt;"&amp;DATE(2026,L$5+1,1),'3. 5기 수입지출장부'!$E$5:$E$2020,"&gt;0")&gt;0,"■","")</f>
        <v/>
      </c>
      <c r="M33" s="14" t="str">
        <f>IF(COUNTIFS('3. 5기 수입지출장부'!$C$5:$C$2020,$C32,'3. 5기 수입지출장부'!$A$5:$A$2020,"&gt;="&amp;DATE(2026,M$5,1),'3. 5기 수입지출장부'!$A$5:$A$2020,"&lt;"&amp;DATE(2026,M$5+1,1),'3. 5기 수입지출장부'!$E$5:$E$2020,"&gt;0")&gt;0,"■","")</f>
        <v/>
      </c>
      <c r="N33" s="11" t="str">
        <f>IF(COUNTIFS('3. 5기 수입지출장부'!$C$5:$C$2020,$C32,'3. 5기 수입지출장부'!$A$5:$A$2020,"&gt;="&amp;DATE(2026,N$5,1),'3. 5기 수입지출장부'!$A$5:$A$2020,"&lt;"&amp;DATE(2026,N$5+1,1),'3. 5기 수입지출장부'!$E$5:$E$2020,"&gt;0")&gt;0,"■","")</f>
        <v/>
      </c>
      <c r="O33" s="21" t="str">
        <f>IF(COUNTIFS('3. 5기 수입지출장부'!$C$5:$C$2020,$C32,'3. 5기 수입지출장부'!$A$5:$A$2020,"&gt;="&amp;DATE(2026,O$5,1),'3. 5기 수입지출장부'!$A$5:$A$2020,"&lt;"&amp;DATE(2026,O$5+1,1),'3. 5기 수입지출장부'!$E$5:$E$2020,"&gt;0")&gt;0,"■","")</f>
        <v/>
      </c>
      <c r="P33" s="14" t="str">
        <f>IF(COUNTIFS('3. 5기 수입지출장부'!$C$5:$C$2020,$C32,'3. 5기 수입지출장부'!$A$5:$A$2020,"&gt;="&amp;DATE(2026,P$5,1),'3. 5기 수입지출장부'!$A$5:$A$2020,"&lt;"&amp;DATE(2026,P$5+1,1),'3. 5기 수입지출장부'!$E$5:$E$2020,"&gt;0")&gt;0,"■","")</f>
        <v/>
      </c>
      <c r="Q33" s="205">
        <f>'3. 5기 수입지출장부'!E223</f>
        <v>0</v>
      </c>
      <c r="R33" s="206"/>
      <c r="S33" s="195"/>
      <c r="T33" s="195"/>
      <c r="U33" s="3"/>
      <c r="V33" s="3"/>
      <c r="W33" s="3"/>
      <c r="X33" s="191"/>
      <c r="Y33" s="178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87"/>
      <c r="AN33" s="179"/>
      <c r="AO33" s="184"/>
      <c r="AP33" s="178"/>
    </row>
    <row r="34" spans="1:42" ht="24.75" customHeight="1">
      <c r="A34" s="3"/>
      <c r="B34" s="217">
        <f>B32+1</f>
        <v>15</v>
      </c>
      <c r="C34" s="207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182">
        <f>'2. 5기_예산목간'!D45</f>
        <v>600000</v>
      </c>
      <c r="R34" s="183"/>
      <c r="S34" s="237">
        <f>Q35/Q34</f>
        <v>0</v>
      </c>
      <c r="T34" s="218" t="s">
        <v>290</v>
      </c>
      <c r="U34" s="3"/>
      <c r="V34" s="3"/>
      <c r="W34" s="3"/>
      <c r="X34" s="179"/>
      <c r="Y34" s="17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0"/>
      <c r="AN34" s="179"/>
      <c r="AO34" s="179"/>
      <c r="AP34" s="179"/>
    </row>
    <row r="35" spans="1:42" ht="24.75" customHeight="1">
      <c r="A35" s="3"/>
      <c r="B35" s="204"/>
      <c r="C35" s="208"/>
      <c r="D35" s="14" t="s">
        <v>280</v>
      </c>
      <c r="E35" s="14" t="str">
        <f>IF(COUNTIFS('3. 5기 수입지출장부'!$C$5:$C$2020,$C34,'3. 5기 수입지출장부'!$A$5:$A$2020,"&gt;="&amp;DATE(2026,E$5,1),'3. 5기 수입지출장부'!$A$5:$A$2020,"&lt;"&amp;DATE(2026,E$5+1,1),'3. 5기 수입지출장부'!$E$5:$E$2020,"&gt;0")&gt;0,"■","")</f>
        <v/>
      </c>
      <c r="F35" s="14" t="str">
        <f>IF(COUNTIFS('3. 5기 수입지출장부'!$C$5:$C$2020,$C34,'3. 5기 수입지출장부'!$A$5:$A$2020,"&gt;="&amp;DATE(2026,F$5,1),'3. 5기 수입지출장부'!$A$5:$A$2020,"&lt;"&amp;DATE(2026,F$5+1,1),'3. 5기 수입지출장부'!$E$5:$E$2020,"&gt;0")&gt;0,"■","")</f>
        <v/>
      </c>
      <c r="G35" s="14" t="str">
        <f>IF(COUNTIFS('3. 5기 수입지출장부'!$C$5:$C$2020,$C34,'3. 5기 수입지출장부'!$A$5:$A$2020,"&gt;="&amp;DATE(2026,G$5,1),'3. 5기 수입지출장부'!$A$5:$A$2020,"&lt;"&amp;DATE(2026,G$5+1,1),'3. 5기 수입지출장부'!$E$5:$E$2020,"&gt;0")&gt;0,"■","")</f>
        <v/>
      </c>
      <c r="H35" s="14" t="str">
        <f>IF(COUNTIFS('3. 5기 수입지출장부'!$C$5:$C$2020,$C34,'3. 5기 수입지출장부'!$A$5:$A$2020,"&gt;="&amp;DATE(2026,H$5,1),'3. 5기 수입지출장부'!$A$5:$A$2020,"&lt;"&amp;DATE(2026,H$5+1,1),'3. 5기 수입지출장부'!$E$5:$E$2020,"&gt;0")&gt;0,"■","")</f>
        <v/>
      </c>
      <c r="I35" s="14" t="str">
        <f>IF(COUNTIFS('3. 5기 수입지출장부'!$C$5:$C$2020,$C34,'3. 5기 수입지출장부'!$A$5:$A$2020,"&gt;="&amp;DATE(2026,I$5,1),'3. 5기 수입지출장부'!$A$5:$A$2020,"&lt;"&amp;DATE(2026,I$5+1,1),'3. 5기 수입지출장부'!$E$5:$E$2020,"&gt;0")&gt;0,"■","")</f>
        <v/>
      </c>
      <c r="J35" s="14" t="str">
        <f>IF(COUNTIFS('3. 5기 수입지출장부'!$C$5:$C$2020,$C34,'3. 5기 수입지출장부'!$A$5:$A$2020,"&gt;="&amp;DATE(2026,J$5,1),'3. 5기 수입지출장부'!$A$5:$A$2020,"&lt;"&amp;DATE(2026,J$5+1,1),'3. 5기 수입지출장부'!$E$5:$E$2020,"&gt;0")&gt;0,"■","")</f>
        <v/>
      </c>
      <c r="K35" s="14" t="str">
        <f>IF(COUNTIFS('3. 5기 수입지출장부'!$C$5:$C$2020,$C34,'3. 5기 수입지출장부'!$A$5:$A$2020,"&gt;="&amp;DATE(2026,K$5,1),'3. 5기 수입지출장부'!$A$5:$A$2020,"&lt;"&amp;DATE(2026,K$5+1,1),'3. 5기 수입지출장부'!$E$5:$E$2020,"&gt;0")&gt;0,"■","")</f>
        <v/>
      </c>
      <c r="L35" s="14" t="str">
        <f>IF(COUNTIFS('3. 5기 수입지출장부'!$C$5:$C$2020,$C34,'3. 5기 수입지출장부'!$A$5:$A$2020,"&gt;="&amp;DATE(2026,L$5,1),'3. 5기 수입지출장부'!$A$5:$A$2020,"&lt;"&amp;DATE(2026,L$5+1,1),'3. 5기 수입지출장부'!$E$5:$E$2020,"&gt;0")&gt;0,"■","")</f>
        <v/>
      </c>
      <c r="M35" s="9" t="str">
        <f>IF(COUNTIFS('3. 5기 수입지출장부'!$C$5:$C$2020,$C34,'3. 5기 수입지출장부'!$A$5:$A$2020,"&gt;="&amp;DATE(2026,M$5,1),'3. 5기 수입지출장부'!$A$5:$A$2020,"&lt;"&amp;DATE(2026,M$5+1,1),'3. 5기 수입지출장부'!$E$5:$E$2020,"&gt;0")&gt;0,"■","")</f>
        <v/>
      </c>
      <c r="N35" s="9" t="str">
        <f>IF(COUNTIFS('3. 5기 수입지출장부'!$C$5:$C$2020,$C34,'3. 5기 수입지출장부'!$A$5:$A$2020,"&gt;="&amp;DATE(2026,N$5,1),'3. 5기 수입지출장부'!$A$5:$A$2020,"&lt;"&amp;DATE(2026,N$5+1,1),'3. 5기 수입지출장부'!$E$5:$E$2020,"&gt;0")&gt;0,"■","")</f>
        <v/>
      </c>
      <c r="O35" s="14" t="str">
        <f>IF(COUNTIFS('3. 5기 수입지출장부'!$C$5:$C$2020,$C34,'3. 5기 수입지출장부'!$A$5:$A$2020,"&gt;="&amp;DATE(2026,O$5,1),'3. 5기 수입지출장부'!$A$5:$A$2020,"&lt;"&amp;DATE(2026,O$5+1,1),'3. 5기 수입지출장부'!$E$5:$E$2020,"&gt;0")&gt;0,"■","")</f>
        <v/>
      </c>
      <c r="P35" s="14" t="str">
        <f>IF(COUNTIFS('3. 5기 수입지출장부'!$C$5:$C$2020,$C34,'3. 5기 수입지출장부'!$A$5:$A$2020,"&gt;="&amp;DATE(2026,P$5,1),'3. 5기 수입지출장부'!$A$5:$A$2020,"&lt;"&amp;DATE(2026,P$5+1,1),'3. 5기 수입지출장부'!$E$5:$E$2020,"&gt;0")&gt;0,"■","")</f>
        <v/>
      </c>
      <c r="Q35" s="205">
        <f>'3. 5기 수입지출장부'!E224</f>
        <v>0</v>
      </c>
      <c r="R35" s="206"/>
      <c r="S35" s="195"/>
      <c r="T35" s="189"/>
      <c r="U35" s="3"/>
      <c r="V35" s="3"/>
      <c r="W35" s="3"/>
      <c r="X35" s="191"/>
      <c r="Y35" s="178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87"/>
      <c r="AN35" s="179"/>
      <c r="AO35" s="184"/>
      <c r="AP35" s="178"/>
    </row>
    <row r="36" spans="1:42" ht="24.75" customHeight="1">
      <c r="A36" s="3"/>
      <c r="B36" s="217">
        <v>16</v>
      </c>
      <c r="C36" s="207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82">
        <f>'2. 5기_예산목간'!D47</f>
        <v>300000</v>
      </c>
      <c r="R36" s="183"/>
      <c r="S36" s="185">
        <f>Q37/Q36</f>
        <v>0</v>
      </c>
      <c r="T36" s="218" t="s">
        <v>291</v>
      </c>
      <c r="U36" s="3"/>
      <c r="V36" s="3"/>
      <c r="W36" s="3"/>
      <c r="X36" s="179"/>
      <c r="Y36" s="17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0"/>
      <c r="AN36" s="179"/>
      <c r="AO36" s="179"/>
      <c r="AP36" s="179"/>
    </row>
    <row r="37" spans="1:42" ht="24.75" customHeight="1">
      <c r="A37" s="3"/>
      <c r="B37" s="204"/>
      <c r="C37" s="208"/>
      <c r="D37" s="14" t="s">
        <v>280</v>
      </c>
      <c r="E37" s="14" t="str">
        <f>IF(COUNTIFS('3. 5기 수입지출장부'!$C$5:$C$2020,$C36,'3. 5기 수입지출장부'!$A$5:$A$2020,"&gt;="&amp;DATE(2026,E$5,1),'3. 5기 수입지출장부'!$A$5:$A$2020,"&lt;"&amp;DATE(2026,E$5+1,1),'3. 5기 수입지출장부'!$E$5:$E$2020,"&gt;0")&gt;0,"■","")</f>
        <v/>
      </c>
      <c r="F37" s="14" t="str">
        <f>IF(COUNTIFS('3. 5기 수입지출장부'!$C$5:$C$2020,$C36,'3. 5기 수입지출장부'!$A$5:$A$2020,"&gt;="&amp;DATE(2026,F$5,1),'3. 5기 수입지출장부'!$A$5:$A$2020,"&lt;"&amp;DATE(2026,F$5+1,1),'3. 5기 수입지출장부'!$E$5:$E$2020,"&gt;0")&gt;0,"■","")</f>
        <v/>
      </c>
      <c r="G37" s="14" t="str">
        <f>IF(COUNTIFS('3. 5기 수입지출장부'!$C$5:$C$2020,$C36,'3. 5기 수입지출장부'!$A$5:$A$2020,"&gt;="&amp;DATE(2026,G$5,1),'3. 5기 수입지출장부'!$A$5:$A$2020,"&lt;"&amp;DATE(2026,G$5+1,1),'3. 5기 수입지출장부'!$E$5:$E$2020,"&gt;0")&gt;0,"■","")</f>
        <v/>
      </c>
      <c r="H37" s="5" t="str">
        <f>IF(COUNTIFS('3. 5기 수입지출장부'!$C$5:$C$2020,$C36,'3. 5기 수입지출장부'!$A$5:$A$2020,"&gt;="&amp;DATE(2026,H$5,1),'3. 5기 수입지출장부'!$A$5:$A$2020,"&lt;"&amp;DATE(2026,H$5+1,1),'3. 5기 수입지출장부'!$E$5:$E$2020,"&gt;0")&gt;0,"■","")</f>
        <v/>
      </c>
      <c r="I37" s="5" t="str">
        <f>IF(COUNTIFS('3. 5기 수입지출장부'!$C$5:$C$2020,$C36,'3. 5기 수입지출장부'!$A$5:$A$2020,"&gt;="&amp;DATE(2026,I$5,1),'3. 5기 수입지출장부'!$A$5:$A$2020,"&lt;"&amp;DATE(2026,I$5+1,1),'3. 5기 수입지출장부'!$E$5:$E$2020,"&gt;0")&gt;0,"■","")</f>
        <v/>
      </c>
      <c r="J37" s="5" t="str">
        <f>IF(COUNTIFS('3. 5기 수입지출장부'!$C$5:$C$2020,$C36,'3. 5기 수입지출장부'!$A$5:$A$2020,"&gt;="&amp;DATE(2026,J$5,1),'3. 5기 수입지출장부'!$A$5:$A$2020,"&lt;"&amp;DATE(2026,J$5+1,1),'3. 5기 수입지출장부'!$E$5:$E$2020,"&gt;0")&gt;0,"■","")</f>
        <v/>
      </c>
      <c r="K37" s="5" t="str">
        <f>IF(COUNTIFS('3. 5기 수입지출장부'!$C$5:$C$2020,$C36,'3. 5기 수입지출장부'!$A$5:$A$2020,"&gt;="&amp;DATE(2026,K$5,1),'3. 5기 수입지출장부'!$A$5:$A$2020,"&lt;"&amp;DATE(2026,K$5+1,1),'3. 5기 수입지출장부'!$E$5:$E$2020,"&gt;0")&gt;0,"■","")</f>
        <v/>
      </c>
      <c r="L37" s="5" t="str">
        <f>IF(COUNTIFS('3. 5기 수입지출장부'!$C$5:$C$2020,$C36,'3. 5기 수입지출장부'!$A$5:$A$2020,"&gt;="&amp;DATE(2026,L$5,1),'3. 5기 수입지출장부'!$A$5:$A$2020,"&lt;"&amp;DATE(2026,L$5+1,1),'3. 5기 수입지출장부'!$E$5:$E$2020,"&gt;0")&gt;0,"■","")</f>
        <v/>
      </c>
      <c r="M37" s="5" t="str">
        <f>IF(COUNTIFS('3. 5기 수입지출장부'!$C$5:$C$2020,$C36,'3. 5기 수입지출장부'!$A$5:$A$2020,"&gt;="&amp;DATE(2026,M$5,1),'3. 5기 수입지출장부'!$A$5:$A$2020,"&lt;"&amp;DATE(2026,M$5+1,1),'3. 5기 수입지출장부'!$E$5:$E$2020,"&gt;0")&gt;0,"■","")</f>
        <v/>
      </c>
      <c r="N37" s="5" t="str">
        <f>IF(COUNTIFS('3. 5기 수입지출장부'!$C$5:$C$2020,$C36,'3. 5기 수입지출장부'!$A$5:$A$2020,"&gt;="&amp;DATE(2026,N$5,1),'3. 5기 수입지출장부'!$A$5:$A$2020,"&lt;"&amp;DATE(2026,N$5+1,1),'3. 5기 수입지출장부'!$E$5:$E$2020,"&gt;0")&gt;0,"■","")</f>
        <v/>
      </c>
      <c r="O37" s="5" t="str">
        <f>IF(COUNTIFS('3. 5기 수입지출장부'!$C$5:$C$2020,$C36,'3. 5기 수입지출장부'!$A$5:$A$2020,"&gt;="&amp;DATE(2026,O$5,1),'3. 5기 수입지출장부'!$A$5:$A$2020,"&lt;"&amp;DATE(2026,O$5+1,1),'3. 5기 수입지출장부'!$E$5:$E$2020,"&gt;0")&gt;0,"■","")</f>
        <v/>
      </c>
      <c r="P37" s="14" t="str">
        <f>IF(COUNTIFS('3. 5기 수입지출장부'!$C$5:$C$2020,$C36,'3. 5기 수입지출장부'!$A$5:$A$2020,"&gt;="&amp;DATE(2026,P$5,1),'3. 5기 수입지출장부'!$A$5:$A$2020,"&lt;"&amp;DATE(2026,P$5+1,1),'3. 5기 수입지출장부'!$E$5:$E$2020,"&gt;0")&gt;0,"■","")</f>
        <v/>
      </c>
      <c r="Q37" s="197">
        <f>'3. 5기 수입지출장부'!E225</f>
        <v>0</v>
      </c>
      <c r="R37" s="198"/>
      <c r="S37" s="186"/>
      <c r="T37" s="189"/>
      <c r="U37" s="3"/>
      <c r="V37" s="3"/>
      <c r="W37" s="3"/>
      <c r="X37" s="191"/>
      <c r="Y37" s="178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87"/>
      <c r="AN37" s="179"/>
      <c r="AO37" s="184"/>
      <c r="AP37" s="178"/>
    </row>
    <row r="38" spans="1:42" ht="24.75" customHeight="1">
      <c r="A38" s="3"/>
      <c r="B38" s="203">
        <v>17</v>
      </c>
      <c r="C38" s="207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182">
        <f>'2. 5기_예산목간'!D49</f>
        <v>500000</v>
      </c>
      <c r="R38" s="183"/>
      <c r="S38" s="237">
        <v>0</v>
      </c>
      <c r="T38" s="218" t="s">
        <v>292</v>
      </c>
      <c r="U38" s="3"/>
      <c r="V38" s="3"/>
      <c r="W38" s="3"/>
      <c r="X38" s="179"/>
      <c r="Y38" s="17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90"/>
      <c r="AN38" s="179"/>
      <c r="AO38" s="179"/>
      <c r="AP38" s="179"/>
    </row>
    <row r="39" spans="1:42" ht="24.75" customHeight="1">
      <c r="A39" s="3"/>
      <c r="B39" s="204"/>
      <c r="C39" s="208"/>
      <c r="D39" s="14" t="s">
        <v>280</v>
      </c>
      <c r="E39" s="14" t="str">
        <f>IF(COUNTIFS('3. 5기 수입지출장부'!$C$5:$C$2020,$C38,'3. 5기 수입지출장부'!$A$5:$A$2020,"&gt;="&amp;DATE(2026,E$5,1),'3. 5기 수입지출장부'!$A$5:$A$2020,"&lt;"&amp;DATE(2026,E$5+1,1),'3. 5기 수입지출장부'!$E$5:$E$2020,"&gt;0")&gt;0,"■","")</f>
        <v/>
      </c>
      <c r="F39" s="14" t="str">
        <f>IF(COUNTIFS('3. 5기 수입지출장부'!$C$5:$C$2020,$C38,'3. 5기 수입지출장부'!$A$5:$A$2020,"&gt;="&amp;DATE(2026,F$5,1),'3. 5기 수입지출장부'!$A$5:$A$2020,"&lt;"&amp;DATE(2026,F$5+1,1),'3. 5기 수입지출장부'!$E$5:$E$2020,"&gt;0")&gt;0,"■","")</f>
        <v/>
      </c>
      <c r="G39" s="14" t="str">
        <f>IF(COUNTIFS('3. 5기 수입지출장부'!$C$5:$C$2020,$C38,'3. 5기 수입지출장부'!$A$5:$A$2020,"&gt;="&amp;DATE(2026,G$5,1),'3. 5기 수입지출장부'!$A$5:$A$2020,"&lt;"&amp;DATE(2026,G$5+1,1),'3. 5기 수입지출장부'!$E$5:$E$2020,"&gt;0")&gt;0,"■","")</f>
        <v/>
      </c>
      <c r="H39" s="14" t="str">
        <f>IF(COUNTIFS('3. 5기 수입지출장부'!$C$5:$C$2020,$C38,'3. 5기 수입지출장부'!$A$5:$A$2020,"&gt;="&amp;DATE(2026,H$5,1),'3. 5기 수입지출장부'!$A$5:$A$2020,"&lt;"&amp;DATE(2026,H$5+1,1),'3. 5기 수입지출장부'!$E$5:$E$2020,"&gt;0")&gt;0,"■","")</f>
        <v/>
      </c>
      <c r="I39" s="14" t="str">
        <f>IF(COUNTIFS('3. 5기 수입지출장부'!$C$5:$C$2020,$C38,'3. 5기 수입지출장부'!$A$5:$A$2020,"&gt;="&amp;DATE(2026,I$5,1),'3. 5기 수입지출장부'!$A$5:$A$2020,"&lt;"&amp;DATE(2026,I$5+1,1),'3. 5기 수입지출장부'!$E$5:$E$2020,"&gt;0")&gt;0,"■","")</f>
        <v/>
      </c>
      <c r="J39" s="14" t="str">
        <f>IF(COUNTIFS('3. 5기 수입지출장부'!$C$5:$C$2020,$C38,'3. 5기 수입지출장부'!$A$5:$A$2020,"&gt;="&amp;DATE(2026,J$5,1),'3. 5기 수입지출장부'!$A$5:$A$2020,"&lt;"&amp;DATE(2026,J$5+1,1),'3. 5기 수입지출장부'!$E$5:$E$2020,"&gt;0")&gt;0,"■","")</f>
        <v/>
      </c>
      <c r="K39" s="14" t="str">
        <f>IF(COUNTIFS('3. 5기 수입지출장부'!$C$5:$C$2020,$C38,'3. 5기 수입지출장부'!$A$5:$A$2020,"&gt;="&amp;DATE(2026,K$5,1),'3. 5기 수입지출장부'!$A$5:$A$2020,"&lt;"&amp;DATE(2026,K$5+1,1),'3. 5기 수입지출장부'!$E$5:$E$2020,"&gt;0")&gt;0,"■","")</f>
        <v/>
      </c>
      <c r="L39" s="14" t="str">
        <f>IF(COUNTIFS('3. 5기 수입지출장부'!$C$5:$C$2020,$C38,'3. 5기 수입지출장부'!$A$5:$A$2020,"&gt;="&amp;DATE(2026,L$5,1),'3. 5기 수입지출장부'!$A$5:$A$2020,"&lt;"&amp;DATE(2026,L$5+1,1),'3. 5기 수입지출장부'!$E$5:$E$2020,"&gt;0")&gt;0,"■","")</f>
        <v/>
      </c>
      <c r="M39" s="14" t="str">
        <f>IF(COUNTIFS('3. 5기 수입지출장부'!$C$5:$C$2020,$C38,'3. 5기 수입지출장부'!$A$5:$A$2020,"&gt;="&amp;DATE(2026,M$5,1),'3. 5기 수입지출장부'!$A$5:$A$2020,"&lt;"&amp;DATE(2026,M$5+1,1),'3. 5기 수입지출장부'!$E$5:$E$2020,"&gt;0")&gt;0,"■","")</f>
        <v/>
      </c>
      <c r="N39" s="14" t="str">
        <f>IF(COUNTIFS('3. 5기 수입지출장부'!$C$5:$C$2020,$C38,'3. 5기 수입지출장부'!$A$5:$A$2020,"&gt;="&amp;DATE(2026,N$5,1),'3. 5기 수입지출장부'!$A$5:$A$2020,"&lt;"&amp;DATE(2026,N$5+1,1),'3. 5기 수입지출장부'!$E$5:$E$2020,"&gt;0")&gt;0,"■","")</f>
        <v/>
      </c>
      <c r="O39" s="14" t="str">
        <f>IF(COUNTIFS('3. 5기 수입지출장부'!$C$5:$C$2020,$C38,'3. 5기 수입지출장부'!$A$5:$A$2020,"&gt;="&amp;DATE(2026,O$5,1),'3. 5기 수입지출장부'!$A$5:$A$2020,"&lt;"&amp;DATE(2026,O$5+1,1),'3. 5기 수입지출장부'!$E$5:$E$2020,"&gt;0")&gt;0,"■","")</f>
        <v/>
      </c>
      <c r="P39" s="14" t="str">
        <f>IF(COUNTIFS('3. 5기 수입지출장부'!$C$5:$C$2020,$C38,'3. 5기 수입지출장부'!$A$5:$A$2020,"&gt;="&amp;DATE(2026,P$5,1),'3. 5기 수입지출장부'!$A$5:$A$2020,"&lt;"&amp;DATE(2026,P$5+1,1),'3. 5기 수입지출장부'!$E$5:$E$2020,"&gt;0")&gt;0,"■","")</f>
        <v/>
      </c>
      <c r="Q39" s="197">
        <f>'3. 5기 수입지출장부'!E226</f>
        <v>0</v>
      </c>
      <c r="R39" s="198"/>
      <c r="S39" s="195"/>
      <c r="T39" s="189"/>
      <c r="U39" s="3"/>
      <c r="V39" s="3"/>
      <c r="W39" s="3"/>
      <c r="X39" s="191"/>
      <c r="Y39" s="178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87"/>
      <c r="AN39" s="179"/>
      <c r="AO39" s="184"/>
      <c r="AP39" s="178"/>
    </row>
    <row r="40" spans="1:42" ht="24.75" customHeight="1">
      <c r="A40" s="3"/>
      <c r="B40" s="217">
        <v>18</v>
      </c>
      <c r="C40" s="207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182">
        <f>'2. 5기_예산목간'!D50</f>
        <v>400000</v>
      </c>
      <c r="R40" s="183"/>
      <c r="S40" s="237">
        <v>0</v>
      </c>
      <c r="T40" s="218" t="s">
        <v>292</v>
      </c>
      <c r="U40" s="3"/>
      <c r="V40" s="3"/>
      <c r="W40" s="3"/>
      <c r="X40" s="179"/>
      <c r="Y40" s="17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90"/>
      <c r="AN40" s="179"/>
      <c r="AO40" s="179"/>
      <c r="AP40" s="179"/>
    </row>
    <row r="41" spans="1:42" ht="24.75" customHeight="1">
      <c r="A41" s="3"/>
      <c r="B41" s="204"/>
      <c r="C41" s="208"/>
      <c r="D41" s="14" t="s">
        <v>280</v>
      </c>
      <c r="E41" s="14" t="str">
        <f>IF(COUNTIFS('3. 5기 수입지출장부'!$C$5:$C$2020,SUBSTITUTE($C40,", ",","),'3. 5기 수입지출장부'!$A$5:$A$2020,"&gt;="&amp;DATE(2026,E$5,1),'3. 5기 수입지출장부'!$A$5:$A$2020,"&lt;"&amp;DATE(2026,E$5+1,1),'3. 5기 수입지출장부'!$E$5:$E$2020,"&gt;0")&gt;0,"■","")</f>
        <v/>
      </c>
      <c r="F41" s="14" t="str">
        <f>IF(COUNTIFS('3. 5기 수입지출장부'!$C$5:$C$2020,SUBSTITUTE($C40,", ",","),'3. 5기 수입지출장부'!$A$5:$A$2020,"&gt;="&amp;DATE(2026,F$5,1),'3. 5기 수입지출장부'!$A$5:$A$2020,"&lt;"&amp;DATE(2026,F$5+1,1),'3. 5기 수입지출장부'!$E$5:$E$2020,"&gt;0")&gt;0,"■","")</f>
        <v/>
      </c>
      <c r="G41" s="14" t="str">
        <f>IF(COUNTIFS('3. 5기 수입지출장부'!$C$5:$C$2020,SUBSTITUTE($C40,", ",","),'3. 5기 수입지출장부'!$A$5:$A$2020,"&gt;="&amp;DATE(2026,G$5,1),'3. 5기 수입지출장부'!$A$5:$A$2020,"&lt;"&amp;DATE(2026,G$5+1,1),'3. 5기 수입지출장부'!$E$5:$E$2020,"&gt;0")&gt;0,"■","")</f>
        <v/>
      </c>
      <c r="H41" s="14" t="str">
        <f>IF(COUNTIFS('3. 5기 수입지출장부'!$C$5:$C$2020,SUBSTITUTE($C40,", ",","),'3. 5기 수입지출장부'!$A$5:$A$2020,"&gt;="&amp;DATE(2026,H$5,1),'3. 5기 수입지출장부'!$A$5:$A$2020,"&lt;"&amp;DATE(2026,H$5+1,1),'3. 5기 수입지출장부'!$E$5:$E$2020,"&gt;0")&gt;0,"■","")</f>
        <v/>
      </c>
      <c r="I41" s="14" t="str">
        <f>IF(COUNTIFS('3. 5기 수입지출장부'!$C$5:$C$2020,SUBSTITUTE($C40,", ",","),'3. 5기 수입지출장부'!$A$5:$A$2020,"&gt;="&amp;DATE(2026,I$5,1),'3. 5기 수입지출장부'!$A$5:$A$2020,"&lt;"&amp;DATE(2026,I$5+1,1),'3. 5기 수입지출장부'!$E$5:$E$2020,"&gt;0")&gt;0,"■","")</f>
        <v/>
      </c>
      <c r="J41" s="14" t="str">
        <f>IF(COUNTIFS('3. 5기 수입지출장부'!$C$5:$C$2020,SUBSTITUTE($C40,", ",","),'3. 5기 수입지출장부'!$A$5:$A$2020,"&gt;="&amp;DATE(2026,J$5,1),'3. 5기 수입지출장부'!$A$5:$A$2020,"&lt;"&amp;DATE(2026,J$5+1,1),'3. 5기 수입지출장부'!$E$5:$E$2020,"&gt;0")&gt;0,"■","")</f>
        <v/>
      </c>
      <c r="K41" s="14" t="str">
        <f>IF(COUNTIFS('3. 5기 수입지출장부'!$C$5:$C$2020,SUBSTITUTE($C40,", ",","),'3. 5기 수입지출장부'!$A$5:$A$2020,"&gt;="&amp;DATE(2026,K$5,1),'3. 5기 수입지출장부'!$A$5:$A$2020,"&lt;"&amp;DATE(2026,K$5+1,1),'3. 5기 수입지출장부'!$E$5:$E$2020,"&gt;0")&gt;0,"■","")</f>
        <v/>
      </c>
      <c r="L41" s="14" t="str">
        <f>IF(COUNTIFS('3. 5기 수입지출장부'!$C$5:$C$2020,SUBSTITUTE($C40,", ",","),'3. 5기 수입지출장부'!$A$5:$A$2020,"&gt;="&amp;DATE(2026,L$5,1),'3. 5기 수입지출장부'!$A$5:$A$2020,"&lt;"&amp;DATE(2026,L$5+1,1),'3. 5기 수입지출장부'!$E$5:$E$2020,"&gt;0")&gt;0,"■","")</f>
        <v/>
      </c>
      <c r="M41" s="14" t="str">
        <f>IF(COUNTIFS('3. 5기 수입지출장부'!$C$5:$C$2020,SUBSTITUTE($C40,", ",","),'3. 5기 수입지출장부'!$A$5:$A$2020,"&gt;="&amp;DATE(2026,M$5,1),'3. 5기 수입지출장부'!$A$5:$A$2020,"&lt;"&amp;DATE(2026,M$5+1,1),'3. 5기 수입지출장부'!$E$5:$E$2020,"&gt;0")&gt;0,"■","")</f>
        <v/>
      </c>
      <c r="N41" s="14" t="str">
        <f>IF(COUNTIFS('3. 5기 수입지출장부'!$C$5:$C$2020,SUBSTITUTE($C40,", ",","),'3. 5기 수입지출장부'!$A$5:$A$2020,"&gt;="&amp;DATE(2026,N$5,1),'3. 5기 수입지출장부'!$A$5:$A$2020,"&lt;"&amp;DATE(2026,N$5+1,1),'3. 5기 수입지출장부'!$E$5:$E$2020,"&gt;0")&gt;0,"■","")</f>
        <v/>
      </c>
      <c r="O41" s="14" t="str">
        <f>IF(COUNTIFS('3. 5기 수입지출장부'!$C$5:$C$2020,SUBSTITUTE($C40,", ",","),'3. 5기 수입지출장부'!$A$5:$A$2020,"&gt;="&amp;DATE(2026,O$5,1),'3. 5기 수입지출장부'!$A$5:$A$2020,"&lt;"&amp;DATE(2026,O$5+1,1),'3. 5기 수입지출장부'!$E$5:$E$2020,"&gt;0")&gt;0,"■","")</f>
        <v/>
      </c>
      <c r="P41" s="14" t="str">
        <f>IF(COUNTIFS('3. 5기 수입지출장부'!$C$5:$C$2020,SUBSTITUTE($C40,", ",","),'3. 5기 수입지출장부'!$A$5:$A$2020,"&gt;="&amp;DATE(2026,P$5,1),'3. 5기 수입지출장부'!$A$5:$A$2020,"&lt;"&amp;DATE(2026,P$5+1,1),'3. 5기 수입지출장부'!$E$5:$E$2020,"&gt;0")&gt;0,"■","")</f>
        <v/>
      </c>
      <c r="Q41" s="197">
        <f>'3. 5기 수입지출장부'!E227</f>
        <v>0</v>
      </c>
      <c r="R41" s="198"/>
      <c r="S41" s="195"/>
      <c r="T41" s="189"/>
      <c r="U41" s="3"/>
      <c r="V41" s="3"/>
      <c r="W41" s="3"/>
      <c r="X41" s="191"/>
      <c r="Y41" s="178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0"/>
      <c r="AN41" s="179"/>
      <c r="AO41" s="184"/>
      <c r="AP41" s="178"/>
    </row>
    <row r="42" spans="1:42" ht="24.75" customHeight="1">
      <c r="A42" s="3"/>
      <c r="B42" s="217">
        <f>B40+1</f>
        <v>19</v>
      </c>
      <c r="C42" s="207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82">
        <f>'2. 5기_예산목간'!D53</f>
        <v>0</v>
      </c>
      <c r="R42" s="183"/>
      <c r="S42" s="199" t="e">
        <f>Q43/Q42</f>
        <v>#DIV/0!</v>
      </c>
      <c r="T42" s="218" t="s">
        <v>283</v>
      </c>
      <c r="U42" s="3"/>
      <c r="V42" s="3"/>
      <c r="W42" s="3" t="s">
        <v>293</v>
      </c>
      <c r="X42" s="179"/>
      <c r="Y42" s="17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90"/>
      <c r="AN42" s="179"/>
      <c r="AO42" s="179"/>
      <c r="AP42" s="179"/>
    </row>
    <row r="43" spans="1:42" ht="24.75" customHeight="1">
      <c r="A43" s="3"/>
      <c r="B43" s="204"/>
      <c r="C43" s="208"/>
      <c r="D43" s="14" t="s">
        <v>280</v>
      </c>
      <c r="E43" s="9" t="str">
        <f>IF(COUNTIFS('3. 5기 수입지출장부'!$B$5:$B$2020,$C42,'3. 5기 수입지출장부'!$A$5:$A$2020,"&gt;="&amp;DATE(2026,E$5,1),'3. 5기 수입지출장부'!$A$5:$A$2020,"&lt;"&amp;DATE(2026,E$5+1,1),'3. 5기 수입지출장부'!$E$5:$E$2020,"&gt;0")&gt;0,"■","")</f>
        <v/>
      </c>
      <c r="F43" s="14" t="str">
        <f>IF(COUNTIFS('3. 5기 수입지출장부'!$B$5:$B$2020,$C42,'3. 5기 수입지출장부'!$A$5:$A$2020,"&gt;="&amp;DATE(2026,F$5,1),'3. 5기 수입지출장부'!$A$5:$A$2020,"&lt;"&amp;DATE(2026,F$5+1,1),'3. 5기 수입지출장부'!$E$5:$E$2020,"&gt;0")&gt;0,"■","")</f>
        <v>■</v>
      </c>
      <c r="G43" s="14" t="str">
        <f>IF(COUNTIFS('3. 5기 수입지출장부'!$B$5:$B$2020,$C42,'3. 5기 수입지출장부'!$A$5:$A$2020,"&gt;="&amp;DATE(2026,G$5,1),'3. 5기 수입지출장부'!$A$5:$A$2020,"&lt;"&amp;DATE(2026,G$5+1,1),'3. 5기 수입지출장부'!$E$5:$E$2020,"&gt;0")&gt;0,"■","")</f>
        <v/>
      </c>
      <c r="H43" s="14" t="str">
        <f>IF(COUNTIFS('3. 5기 수입지출장부'!$B$5:$B$2020,$C42,'3. 5기 수입지출장부'!$A$5:$A$2020,"&gt;="&amp;DATE(2026,H$5,1),'3. 5기 수입지출장부'!$A$5:$A$2020,"&lt;"&amp;DATE(2026,H$5+1,1),'3. 5기 수입지출장부'!$E$5:$E$2020,"&gt;0")&gt;0,"■","")</f>
        <v/>
      </c>
      <c r="I43" s="14" t="str">
        <f>IF(COUNTIFS('3. 5기 수입지출장부'!$B$5:$B$2020,$C42,'3. 5기 수입지출장부'!$A$5:$A$2020,"&gt;="&amp;DATE(2026,I$5,1),'3. 5기 수입지출장부'!$A$5:$A$2020,"&lt;"&amp;DATE(2026,I$5+1,1),'3. 5기 수입지출장부'!$E$5:$E$2020,"&gt;0")&gt;0,"■","")</f>
        <v/>
      </c>
      <c r="J43" s="14" t="str">
        <f>IF(COUNTIFS('3. 5기 수입지출장부'!$B$5:$B$2020,$C42,'3. 5기 수입지출장부'!$A$5:$A$2020,"&gt;="&amp;DATE(2026,J$5,1),'3. 5기 수입지출장부'!$A$5:$A$2020,"&lt;"&amp;DATE(2026,J$5+1,1),'3. 5기 수입지출장부'!$E$5:$E$2020,"&gt;0")&gt;0,"■","")</f>
        <v/>
      </c>
      <c r="K43" s="14" t="str">
        <f>IF(COUNTIFS('3. 5기 수입지출장부'!$B$5:$B$2020,$C42,'3. 5기 수입지출장부'!$A$5:$A$2020,"&gt;="&amp;DATE(2026,K$5,1),'3. 5기 수입지출장부'!$A$5:$A$2020,"&lt;"&amp;DATE(2026,K$5+1,1),'3. 5기 수입지출장부'!$E$5:$E$2020,"&gt;0")&gt;0,"■","")</f>
        <v/>
      </c>
      <c r="L43" s="14" t="str">
        <f>IF(COUNTIFS('3. 5기 수입지출장부'!$B$5:$B$2020,$C42,'3. 5기 수입지출장부'!$A$5:$A$2020,"&gt;="&amp;DATE(2026,L$5,1),'3. 5기 수입지출장부'!$A$5:$A$2020,"&lt;"&amp;DATE(2026,L$5+1,1),'3. 5기 수입지출장부'!$E$5:$E$2020,"&gt;0")&gt;0,"■","")</f>
        <v/>
      </c>
      <c r="M43" s="14" t="str">
        <f>IF(COUNTIFS('3. 5기 수입지출장부'!$B$5:$B$2020,$C42,'3. 5기 수입지출장부'!$A$5:$A$2020,"&gt;="&amp;DATE(2026,M$5,1),'3. 5기 수입지출장부'!$A$5:$A$2020,"&lt;"&amp;DATE(2026,M$5+1,1),'3. 5기 수입지출장부'!$E$5:$E$2020,"&gt;0")&gt;0,"■","")</f>
        <v/>
      </c>
      <c r="N43" s="14" t="str">
        <f>IF(COUNTIFS('3. 5기 수입지출장부'!$B$5:$B$2020,$C42,'3. 5기 수입지출장부'!$A$5:$A$2020,"&gt;="&amp;DATE(2026,N$5,1),'3. 5기 수입지출장부'!$A$5:$A$2020,"&lt;"&amp;DATE(2026,N$5+1,1),'3. 5기 수입지출장부'!$E$5:$E$2020,"&gt;0")&gt;0,"■","")</f>
        <v/>
      </c>
      <c r="O43" s="14" t="str">
        <f>IF(COUNTIFS('3. 5기 수입지출장부'!$B$5:$B$2020,$C42,'3. 5기 수입지출장부'!$A$5:$A$2020,"&gt;="&amp;DATE(2026,O$5,1),'3. 5기 수입지출장부'!$A$5:$A$2020,"&lt;"&amp;DATE(2026,O$5+1,1),'3. 5기 수입지출장부'!$E$5:$E$2020,"&gt;0")&gt;0,"■","")</f>
        <v/>
      </c>
      <c r="P43" s="14" t="str">
        <f>IF(COUNTIFS('3. 5기 수입지출장부'!$B$5:$B$2020,$C42,'3. 5기 수입지출장부'!$A$5:$A$2020,"&gt;="&amp;DATE(2026,P$5,1),'3. 5기 수입지출장부'!$A$5:$A$2020,"&lt;"&amp;DATE(2026,P$5+1,1),'3. 5기 수입지출장부'!$E$5:$E$2020,"&gt;0")&gt;0,"■","")</f>
        <v/>
      </c>
      <c r="Q43" s="197"/>
      <c r="R43" s="198"/>
      <c r="S43" s="195"/>
      <c r="T43" s="189"/>
      <c r="U43" s="3"/>
      <c r="V43" s="3"/>
      <c r="W43" s="3"/>
      <c r="X43" s="191"/>
      <c r="Y43" s="178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87"/>
      <c r="AN43" s="179"/>
      <c r="AO43" s="184"/>
      <c r="AP43" s="178"/>
    </row>
    <row r="44" spans="1:42" ht="24.75" customHeight="1">
      <c r="A44" s="3"/>
      <c r="B44" s="217">
        <v>20</v>
      </c>
      <c r="C44" s="207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82">
        <f>'2. 5기_예산목간'!D57</f>
        <v>5330291</v>
      </c>
      <c r="R44" s="183"/>
      <c r="S44" s="199">
        <f>Q45/Q44</f>
        <v>0</v>
      </c>
      <c r="T44" s="194" t="s">
        <v>283</v>
      </c>
      <c r="U44" s="3"/>
      <c r="V44" s="3"/>
      <c r="W44" s="3"/>
      <c r="X44" s="179"/>
      <c r="Y44" s="17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0"/>
      <c r="AN44" s="179"/>
      <c r="AO44" s="179"/>
      <c r="AP44" s="179"/>
    </row>
    <row r="45" spans="1:42" ht="24.75" customHeight="1">
      <c r="A45" s="3"/>
      <c r="B45" s="204"/>
      <c r="C45" s="208"/>
      <c r="D45" s="14" t="s">
        <v>280</v>
      </c>
      <c r="E45" s="14" t="str">
        <f>IF(COUNTIFS('3. 5기 수입지출장부'!$C$5:$C$2020,$C44,'3. 5기 수입지출장부'!$A$5:$A$2020,"&gt;="&amp;DATE(2026,E$5,1),'3. 5기 수입지출장부'!$A$5:$A$2020,"&lt;"&amp;DATE(2026,E$5+1,1),'3. 5기 수입지출장부'!$E$5:$E$2020,"&gt;0")&gt;0,"■","")</f>
        <v/>
      </c>
      <c r="F45" s="9" t="str">
        <f>IF(COUNTIFS('3. 5기 수입지출장부'!$C$5:$C$2020,$C44,'3. 5기 수입지출장부'!$A$5:$A$2020,"&gt;="&amp;DATE(2026,F$5,1),'3. 5기 수입지출장부'!$A$5:$A$2020,"&lt;"&amp;DATE(2026,F$5+1,1),'3. 5기 수입지출장부'!$E$5:$E$2020,"&gt;0")&gt;0,"■","")</f>
        <v/>
      </c>
      <c r="G45" s="9" t="str">
        <f>IF(COUNTIFS('3. 5기 수입지출장부'!$C$5:$C$2020,$C44,'3. 5기 수입지출장부'!$A$5:$A$2020,"&gt;="&amp;DATE(2026,G$5,1),'3. 5기 수입지출장부'!$A$5:$A$2020,"&lt;"&amp;DATE(2026,G$5+1,1),'3. 5기 수입지출장부'!$E$5:$E$2020,"&gt;0")&gt;0,"■","")</f>
        <v/>
      </c>
      <c r="H45" s="9" t="str">
        <f>IF(COUNTIFS('3. 5기 수입지출장부'!$C$5:$C$2020,$C44,'3. 5기 수입지출장부'!$A$5:$A$2020,"&gt;="&amp;DATE(2026,H$5,1),'3. 5기 수입지출장부'!$A$5:$A$2020,"&lt;"&amp;DATE(2026,H$5+1,1),'3. 5기 수입지출장부'!$E$5:$E$2020,"&gt;0")&gt;0,"■","")</f>
        <v/>
      </c>
      <c r="I45" s="9" t="str">
        <f>IF(COUNTIFS('3. 5기 수입지출장부'!$C$5:$C$2020,$C44,'3. 5기 수입지출장부'!$A$5:$A$2020,"&gt;="&amp;DATE(2026,I$5,1),'3. 5기 수입지출장부'!$A$5:$A$2020,"&lt;"&amp;DATE(2026,I$5+1,1),'3. 5기 수입지출장부'!$E$5:$E$2020,"&gt;0")&gt;0,"■","")</f>
        <v/>
      </c>
      <c r="J45" s="9" t="str">
        <f>IF(COUNTIFS('3. 5기 수입지출장부'!$C$5:$C$2020,$C44,'3. 5기 수입지출장부'!$A$5:$A$2020,"&gt;="&amp;DATE(2026,J$5,1),'3. 5기 수입지출장부'!$A$5:$A$2020,"&lt;"&amp;DATE(2026,J$5+1,1),'3. 5기 수입지출장부'!$E$5:$E$2020,"&gt;0")&gt;0,"■","")</f>
        <v/>
      </c>
      <c r="K45" s="9" t="str">
        <f>IF(COUNTIFS('3. 5기 수입지출장부'!$C$5:$C$2020,$C44,'3. 5기 수입지출장부'!$A$5:$A$2020,"&gt;="&amp;DATE(2026,K$5,1),'3. 5기 수입지출장부'!$A$5:$A$2020,"&lt;"&amp;DATE(2026,K$5+1,1),'3. 5기 수입지출장부'!$E$5:$E$2020,"&gt;0")&gt;0,"■","")</f>
        <v/>
      </c>
      <c r="L45" s="9" t="str">
        <f>IF(COUNTIFS('3. 5기 수입지출장부'!$C$5:$C$2020,$C44,'3. 5기 수입지출장부'!$A$5:$A$2020,"&gt;="&amp;DATE(2026,L$5,1),'3. 5기 수입지출장부'!$A$5:$A$2020,"&lt;"&amp;DATE(2026,L$5+1,1),'3. 5기 수입지출장부'!$E$5:$E$2020,"&gt;0")&gt;0,"■","")</f>
        <v/>
      </c>
      <c r="M45" s="9" t="str">
        <f>IF(COUNTIFS('3. 5기 수입지출장부'!$C$5:$C$2020,$C44,'3. 5기 수입지출장부'!$A$5:$A$2020,"&gt;="&amp;DATE(2026,M$5,1),'3. 5기 수입지출장부'!$A$5:$A$2020,"&lt;"&amp;DATE(2026,M$5+1,1),'3. 5기 수입지출장부'!$E$5:$E$2020,"&gt;0")&gt;0,"■","")</f>
        <v/>
      </c>
      <c r="N45" s="9" t="str">
        <f>IF(COUNTIFS('3. 5기 수입지출장부'!$C$5:$C$2020,$C44,'3. 5기 수입지출장부'!$A$5:$A$2020,"&gt;="&amp;DATE(2026,N$5,1),'3. 5기 수입지출장부'!$A$5:$A$2020,"&lt;"&amp;DATE(2026,N$5+1,1),'3. 5기 수입지출장부'!$E$5:$E$2020,"&gt;0")&gt;0,"■","")</f>
        <v/>
      </c>
      <c r="O45" s="9" t="str">
        <f>IF(COUNTIFS('3. 5기 수입지출장부'!$C$5:$C$2020,$C44,'3. 5기 수입지출장부'!$A$5:$A$2020,"&gt;="&amp;DATE(2026,O$5,1),'3. 5기 수입지출장부'!$A$5:$A$2020,"&lt;"&amp;DATE(2026,O$5+1,1),'3. 5기 수입지출장부'!$E$5:$E$2020,"&gt;0")&gt;0,"■","")</f>
        <v/>
      </c>
      <c r="P45" s="9" t="str">
        <f>IF(COUNTIFS('3. 5기 수입지출장부'!$C$5:$C$2020,$C44,'3. 5기 수입지출장부'!$A$5:$A$2020,"&gt;="&amp;DATE(2026,P$5,1),'3. 5기 수입지출장부'!$A$5:$A$2020,"&lt;"&amp;DATE(2026,P$5+1,1),'3. 5기 수입지출장부'!$E$5:$E$2020,"&gt;0")&gt;0,"■","")</f>
        <v/>
      </c>
      <c r="Q45" s="205">
        <v>0</v>
      </c>
      <c r="R45" s="206"/>
      <c r="S45" s="195"/>
      <c r="T45" s="195"/>
      <c r="U45" s="3"/>
      <c r="V45" s="3"/>
      <c r="W45" s="13"/>
      <c r="X45" s="191"/>
      <c r="Y45" s="178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87"/>
      <c r="AN45" s="179"/>
      <c r="AO45" s="184"/>
      <c r="AP45" s="178"/>
    </row>
    <row r="46" spans="1:42" ht="24.75" customHeight="1">
      <c r="A46" s="3"/>
      <c r="B46" s="203">
        <v>21</v>
      </c>
      <c r="C46" s="207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82">
        <f>'2. 5기_예산목간'!D55</f>
        <v>10000000</v>
      </c>
      <c r="R46" s="183"/>
      <c r="S46" s="199">
        <v>0</v>
      </c>
      <c r="T46" s="194" t="s">
        <v>283</v>
      </c>
      <c r="U46" s="3"/>
      <c r="V46" s="3"/>
      <c r="W46" s="3"/>
      <c r="X46" s="179"/>
      <c r="Y46" s="17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0"/>
      <c r="AN46" s="179"/>
      <c r="AO46" s="179"/>
      <c r="AP46" s="179"/>
    </row>
    <row r="47" spans="1:42" ht="24.75" customHeight="1">
      <c r="A47" s="3"/>
      <c r="B47" s="204"/>
      <c r="C47" s="208"/>
      <c r="D47" s="14" t="s">
        <v>280</v>
      </c>
      <c r="E47" s="14" t="str">
        <f>IF(COUNTIFS('3. 5기 수입지출장부'!$C$5:$C$2020,$C46,'3. 5기 수입지출장부'!$A$5:$A$2020,"&gt;="&amp;DATE(2026,E$5,1),'3. 5기 수입지출장부'!$A$5:$A$2020,"&lt;"&amp;DATE(2026,E$5+1,1),'3. 5기 수입지출장부'!$E$5:$E$2020,"&gt;0")&gt;0,"■","")</f>
        <v/>
      </c>
      <c r="F47" s="5" t="str">
        <f>IF(COUNTIFS('3. 5기 수입지출장부'!$C$5:$C$2020,$C46,'3. 5기 수입지출장부'!$A$5:$A$2020,"&gt;="&amp;DATE(2026,F$5,1),'3. 5기 수입지출장부'!$A$5:$A$2020,"&lt;"&amp;DATE(2026,F$5+1,1),'3. 5기 수입지출장부'!$E$5:$E$2020,"&gt;0")&gt;0,"■","")</f>
        <v/>
      </c>
      <c r="G47" s="5" t="str">
        <f>IF(COUNTIFS('3. 5기 수입지출장부'!$C$5:$C$2020,$C46,'3. 5기 수입지출장부'!$A$5:$A$2020,"&gt;="&amp;DATE(2026,G$5,1),'3. 5기 수입지출장부'!$A$5:$A$2020,"&lt;"&amp;DATE(2026,G$5+1,1),'3. 5기 수입지출장부'!$E$5:$E$2020,"&gt;0")&gt;0,"■","")</f>
        <v/>
      </c>
      <c r="H47" s="14" t="str">
        <f>IF(COUNTIFS('3. 5기 수입지출장부'!$C$5:$C$2020,$C46,'3. 5기 수입지출장부'!$A$5:$A$2020,"&gt;="&amp;DATE(2026,H$5,1),'3. 5기 수입지출장부'!$A$5:$A$2020,"&lt;"&amp;DATE(2026,H$5+1,1),'3. 5기 수입지출장부'!$E$5:$E$2020,"&gt;0")&gt;0,"■","")</f>
        <v/>
      </c>
      <c r="I47" s="14" t="str">
        <f>IF(COUNTIFS('3. 5기 수입지출장부'!$C$5:$C$2020,$C46,'3. 5기 수입지출장부'!$A$5:$A$2020,"&gt;="&amp;DATE(2026,I$5,1),'3. 5기 수입지출장부'!$A$5:$A$2020,"&lt;"&amp;DATE(2026,I$5+1,1),'3. 5기 수입지출장부'!$E$5:$E$2020,"&gt;0")&gt;0,"■","")</f>
        <v/>
      </c>
      <c r="J47" s="5" t="str">
        <f>IF(COUNTIFS('3. 5기 수입지출장부'!$C$5:$C$2020,$C46,'3. 5기 수입지출장부'!$A$5:$A$2020,"&gt;="&amp;DATE(2026,J$5,1),'3. 5기 수입지출장부'!$A$5:$A$2020,"&lt;"&amp;DATE(2026,J$5+1,1),'3. 5기 수입지출장부'!$E$5:$E$2020,"&gt;0")&gt;0,"■","")</f>
        <v/>
      </c>
      <c r="K47" s="5" t="str">
        <f>IF(COUNTIFS('3. 5기 수입지출장부'!$C$5:$C$2020,$C46,'3. 5기 수입지출장부'!$A$5:$A$2020,"&gt;="&amp;DATE(2026,K$5,1),'3. 5기 수입지출장부'!$A$5:$A$2020,"&lt;"&amp;DATE(2026,K$5+1,1),'3. 5기 수입지출장부'!$E$5:$E$2020,"&gt;0")&gt;0,"■","")</f>
        <v/>
      </c>
      <c r="L47" s="5" t="str">
        <f>IF(COUNTIFS('3. 5기 수입지출장부'!$C$5:$C$2020,$C46,'3. 5기 수입지출장부'!$A$5:$A$2020,"&gt;="&amp;DATE(2026,L$5,1),'3. 5기 수입지출장부'!$A$5:$A$2020,"&lt;"&amp;DATE(2026,L$5+1,1),'3. 5기 수입지출장부'!$E$5:$E$2020,"&gt;0")&gt;0,"■","")</f>
        <v/>
      </c>
      <c r="M47" s="5" t="str">
        <f>IF(COUNTIFS('3. 5기 수입지출장부'!$C$5:$C$2020,$C46,'3. 5기 수입지출장부'!$A$5:$A$2020,"&gt;="&amp;DATE(2026,M$5,1),'3. 5기 수입지출장부'!$A$5:$A$2020,"&lt;"&amp;DATE(2026,M$5+1,1),'3. 5기 수입지출장부'!$E$5:$E$2020,"&gt;0")&gt;0,"■","")</f>
        <v/>
      </c>
      <c r="N47" s="5" t="str">
        <f>IF(COUNTIFS('3. 5기 수입지출장부'!$C$5:$C$2020,$C46,'3. 5기 수입지출장부'!$A$5:$A$2020,"&gt;="&amp;DATE(2026,N$5,1),'3. 5기 수입지출장부'!$A$5:$A$2020,"&lt;"&amp;DATE(2026,N$5+1,1),'3. 5기 수입지출장부'!$E$5:$E$2020,"&gt;0")&gt;0,"■","")</f>
        <v/>
      </c>
      <c r="O47" s="14" t="str">
        <f>IF(COUNTIFS('3. 5기 수입지출장부'!$C$5:$C$2020,$C46,'3. 5기 수입지출장부'!$A$5:$A$2020,"&gt;="&amp;DATE(2026,O$5,1),'3. 5기 수입지출장부'!$A$5:$A$2020,"&lt;"&amp;DATE(2026,O$5+1,1),'3. 5기 수입지출장부'!$E$5:$E$2020,"&gt;0")&gt;0,"■","")</f>
        <v/>
      </c>
      <c r="P47" s="14" t="str">
        <f>IF(COUNTIFS('3. 5기 수입지출장부'!$C$5:$C$2020,$C46,'3. 5기 수입지출장부'!$A$5:$A$2020,"&gt;="&amp;DATE(2026,P$5,1),'3. 5기 수입지출장부'!$A$5:$A$2020,"&lt;"&amp;DATE(2026,P$5+1,1),'3. 5기 수입지출장부'!$E$5:$E$2020,"&gt;0")&gt;0,"■","")</f>
        <v/>
      </c>
      <c r="Q47" s="215"/>
      <c r="R47" s="216"/>
      <c r="S47" s="195"/>
      <c r="T47" s="195"/>
      <c r="U47" s="3"/>
      <c r="V47" s="13"/>
      <c r="W47" s="3"/>
      <c r="X47" s="191"/>
      <c r="Y47" s="178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87"/>
      <c r="AN47" s="179"/>
      <c r="AO47" s="184"/>
      <c r="AP47" s="178"/>
    </row>
    <row r="48" spans="1:42" ht="27" customHeight="1">
      <c r="A48" s="3"/>
      <c r="B48" s="233" t="s">
        <v>294</v>
      </c>
      <c r="C48" s="234"/>
      <c r="D48" s="226" t="s">
        <v>295</v>
      </c>
      <c r="E48" s="227"/>
      <c r="F48" s="227"/>
      <c r="G48" s="227"/>
      <c r="H48" s="227"/>
      <c r="I48" s="227"/>
      <c r="J48" s="227"/>
      <c r="K48" s="227"/>
      <c r="L48" s="227"/>
      <c r="M48" s="227"/>
      <c r="N48" s="227"/>
      <c r="O48" s="227"/>
      <c r="P48" s="220"/>
      <c r="Q48" s="219">
        <f>SUM(Q6,Q8,Q10,Q12,Q14,Q16,Q18,Q20,Q22,Q24,Q26,Q28,Q30,Q32,Q34,Q36,Q38,Q40,Q42,Q44,Q46)</f>
        <v>43098091</v>
      </c>
      <c r="R48" s="220"/>
      <c r="S48" s="238">
        <f>Q49/Q48</f>
        <v>0.21485081555004373</v>
      </c>
      <c r="T48" s="228"/>
      <c r="U48" s="3"/>
      <c r="V48" s="13"/>
      <c r="W48" s="13"/>
      <c r="X48" s="179"/>
      <c r="Y48" s="17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0"/>
      <c r="AN48" s="179"/>
      <c r="AO48" s="179"/>
      <c r="AP48" s="179"/>
    </row>
    <row r="49" spans="1:42" ht="27" customHeight="1">
      <c r="A49" s="3"/>
      <c r="B49" s="235"/>
      <c r="C49" s="236"/>
      <c r="D49" s="223" t="s">
        <v>296</v>
      </c>
      <c r="E49" s="224"/>
      <c r="F49" s="224"/>
      <c r="G49" s="224"/>
      <c r="H49" s="224"/>
      <c r="I49" s="224"/>
      <c r="J49" s="224"/>
      <c r="K49" s="224"/>
      <c r="L49" s="224"/>
      <c r="M49" s="224"/>
      <c r="N49" s="224"/>
      <c r="O49" s="224"/>
      <c r="P49" s="225"/>
      <c r="Q49" s="239">
        <f>SUM(Q7,Q9,Q11,Q15,Q17,Q19,Q21,Q23,Q25,Q27,Q29,Q31,Q33,Q35,Q37,Q39,Q41,Q43,Q45,Q47)</f>
        <v>9259660</v>
      </c>
      <c r="R49" s="225"/>
      <c r="S49" s="229"/>
      <c r="T49" s="229"/>
      <c r="U49" s="3"/>
      <c r="V49" s="3"/>
      <c r="W49" s="13"/>
      <c r="X49" s="191"/>
      <c r="Y49" s="178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87"/>
      <c r="AN49" s="179"/>
      <c r="AO49" s="184"/>
      <c r="AP49" s="178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79"/>
      <c r="Y50" s="17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0"/>
      <c r="AN50" s="179"/>
      <c r="AO50" s="179"/>
      <c r="AP50" s="179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1"/>
      <c r="Y51" s="178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87"/>
      <c r="AN51" s="179"/>
      <c r="AO51" s="184"/>
      <c r="AP51" s="178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79"/>
      <c r="Y52" s="17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0"/>
      <c r="AN52" s="179"/>
      <c r="AO52" s="179"/>
      <c r="AP52" s="179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1"/>
      <c r="Y53" s="178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87"/>
      <c r="AN53" s="179"/>
      <c r="AO53" s="184"/>
      <c r="AP53" s="178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79"/>
      <c r="Y54" s="17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0"/>
      <c r="AN54" s="179"/>
      <c r="AO54" s="179"/>
      <c r="AP54" s="179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1"/>
      <c r="Y55" s="178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0"/>
      <c r="AN55" s="179"/>
      <c r="AO55" s="184"/>
      <c r="AP55" s="178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79"/>
      <c r="Y56" s="17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0"/>
      <c r="AN56" s="179"/>
      <c r="AO56" s="179"/>
      <c r="AP56" s="179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78"/>
      <c r="Y57" s="179"/>
      <c r="Z57" s="178"/>
      <c r="AA57" s="179"/>
      <c r="AB57" s="179"/>
      <c r="AC57" s="179"/>
      <c r="AD57" s="179"/>
      <c r="AE57" s="179"/>
      <c r="AF57" s="179"/>
      <c r="AG57" s="179"/>
      <c r="AH57" s="179"/>
      <c r="AI57" s="179"/>
      <c r="AJ57" s="179"/>
      <c r="AK57" s="179"/>
      <c r="AL57" s="179"/>
      <c r="AM57" s="187"/>
      <c r="AN57" s="179"/>
      <c r="AO57" s="184"/>
      <c r="AP57" s="178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79"/>
      <c r="Y58" s="179"/>
      <c r="Z58" s="178"/>
      <c r="AA58" s="179"/>
      <c r="AB58" s="179"/>
      <c r="AC58" s="179"/>
      <c r="AD58" s="179"/>
      <c r="AE58" s="179"/>
      <c r="AF58" s="179"/>
      <c r="AG58" s="179"/>
      <c r="AH58" s="179"/>
      <c r="AI58" s="179"/>
      <c r="AJ58" s="179"/>
      <c r="AK58" s="179"/>
      <c r="AL58" s="179"/>
      <c r="AM58" s="190"/>
      <c r="AN58" s="179"/>
      <c r="AO58" s="179"/>
      <c r="AP58" s="179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6" customWidth="1"/>
    <col min="2" max="5" width="16.28515625" style="156" customWidth="1"/>
    <col min="6" max="6" width="66.85546875" style="156" customWidth="1"/>
    <col min="7" max="8" width="9" style="156" customWidth="1"/>
    <col min="9" max="9" width="12.5703125" style="156" customWidth="1"/>
    <col min="10" max="10" width="10.7109375" style="156" customWidth="1"/>
    <col min="11" max="11" width="11.42578125" style="156" customWidth="1"/>
    <col min="12" max="26" width="8.7109375" style="156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62" t="s">
        <v>298</v>
      </c>
      <c r="B5" s="260"/>
      <c r="C5" s="254"/>
      <c r="D5" s="262" t="s">
        <v>299</v>
      </c>
      <c r="E5" s="254"/>
      <c r="F5" s="262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208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4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8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8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8"/>
      <c r="B10" s="253" t="s">
        <v>311</v>
      </c>
      <c r="C10" s="254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8"/>
      <c r="B11" s="257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8"/>
      <c r="B12" s="258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8"/>
      <c r="B13" s="258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8"/>
      <c r="B14" s="208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8"/>
      <c r="B15" s="257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208"/>
      <c r="B16" s="208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61" t="s">
        <v>315</v>
      </c>
      <c r="B17" s="260"/>
      <c r="C17" s="254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62" t="s">
        <v>298</v>
      </c>
      <c r="B21" s="260"/>
      <c r="C21" s="254"/>
      <c r="D21" s="263" t="s">
        <v>317</v>
      </c>
      <c r="E21" s="254"/>
      <c r="F21" s="262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208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55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208"/>
      <c r="B24" s="261" t="s">
        <v>319</v>
      </c>
      <c r="C24" s="254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55" t="s">
        <v>265</v>
      </c>
      <c r="B25" s="257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8"/>
      <c r="B26" s="208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8"/>
      <c r="B27" s="257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8"/>
      <c r="B28" s="258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8"/>
      <c r="B29" s="258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56"/>
      <c r="H29" s="179"/>
      <c r="I29" s="179"/>
      <c r="J29" s="179"/>
      <c r="K29" s="179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8"/>
      <c r="B30" s="258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56"/>
      <c r="H30" s="179"/>
      <c r="I30" s="179"/>
      <c r="J30" s="179"/>
      <c r="K30" s="179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8"/>
      <c r="B31" s="258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8"/>
      <c r="B32" s="258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8"/>
      <c r="B33" s="208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8"/>
      <c r="B34" s="257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208"/>
      <c r="B35" s="208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61" t="s">
        <v>326</v>
      </c>
      <c r="B36" s="260"/>
      <c r="C36" s="254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55" t="s">
        <v>269</v>
      </c>
      <c r="B37" s="257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8"/>
      <c r="B38" s="208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8"/>
      <c r="B39" s="257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8"/>
      <c r="B40" s="258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8"/>
      <c r="B41" s="258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8"/>
      <c r="B42" s="258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8"/>
      <c r="B43" s="258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8"/>
      <c r="B44" s="208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8"/>
      <c r="B45" s="257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8"/>
      <c r="B46" s="208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8"/>
      <c r="B47" s="257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8"/>
      <c r="B48" s="208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8"/>
      <c r="B49" s="257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8"/>
      <c r="B50" s="258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208"/>
      <c r="B51" s="208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61" t="s">
        <v>337</v>
      </c>
      <c r="B52" s="260"/>
      <c r="C52" s="254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61" t="s">
        <v>338</v>
      </c>
      <c r="B54" s="260"/>
      <c r="C54" s="254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61" t="s">
        <v>340</v>
      </c>
      <c r="C56" s="254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61" t="s">
        <v>339</v>
      </c>
      <c r="B58" s="260"/>
      <c r="C58" s="254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59" t="s">
        <v>341</v>
      </c>
      <c r="B59" s="260"/>
      <c r="C59" s="254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  <mergeCell ref="A59:C59"/>
    <mergeCell ref="B45:B46"/>
    <mergeCell ref="B24:C24"/>
    <mergeCell ref="A36:C36"/>
    <mergeCell ref="A58:C58"/>
    <mergeCell ref="A54:C54"/>
    <mergeCell ref="B49:B51"/>
    <mergeCell ref="B47:B48"/>
    <mergeCell ref="B10:C10"/>
    <mergeCell ref="A23:A24"/>
    <mergeCell ref="G29:K29"/>
    <mergeCell ref="B25:B26"/>
    <mergeCell ref="B27:B33"/>
    <mergeCell ref="G30:K30"/>
    <mergeCell ref="A25:A35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98"/>
  <sheetViews>
    <sheetView tabSelected="1" topLeftCell="A160" workbookViewId="0">
      <selection activeCell="I188" sqref="I188"/>
    </sheetView>
  </sheetViews>
  <sheetFormatPr defaultColWidth="14.42578125" defaultRowHeight="15"/>
  <cols>
    <col min="1" max="1" width="17.5703125" style="156" customWidth="1"/>
    <col min="2" max="2" width="18.140625" style="156" customWidth="1"/>
    <col min="3" max="3" width="17.5703125" style="156" customWidth="1"/>
    <col min="4" max="4" width="15.140625" style="156" customWidth="1"/>
    <col min="5" max="5" width="17.5703125" style="156" customWidth="1"/>
    <col min="6" max="7" width="13.85546875" style="156" customWidth="1"/>
    <col min="8" max="8" width="65.140625" style="156" customWidth="1"/>
    <col min="9" max="9" width="14.140625" style="156" customWidth="1"/>
    <col min="10" max="10" width="10.85546875" style="156" customWidth="1"/>
    <col min="11" max="11" width="14" style="156" customWidth="1"/>
    <col min="12" max="12" width="19.42578125" style="156" customWidth="1"/>
    <col min="13" max="13" width="15.42578125" style="156" customWidth="1"/>
    <col min="14" max="14" width="9.28515625" style="156" customWidth="1"/>
    <col min="15" max="15" width="8.7109375" style="156" customWidth="1"/>
    <col min="16" max="16" width="33.85546875" style="156" customWidth="1"/>
    <col min="17" max="26" width="8.7109375" style="156" customWidth="1"/>
  </cols>
  <sheetData>
    <row r="1" spans="1:14" ht="16.5" customHeight="1">
      <c r="A1" s="266" t="s">
        <v>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</row>
    <row r="2" spans="1:14" ht="16.5" customHeight="1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3" t="s">
        <v>1</v>
      </c>
      <c r="B4" s="154" t="s">
        <v>2</v>
      </c>
      <c r="C4" s="154" t="s">
        <v>3</v>
      </c>
      <c r="D4" s="155" t="s">
        <v>4</v>
      </c>
      <c r="E4" s="155" t="s">
        <v>5</v>
      </c>
      <c r="F4" s="155" t="s">
        <v>6</v>
      </c>
      <c r="G4" s="155" t="s">
        <v>7</v>
      </c>
      <c r="H4" s="154" t="s">
        <v>8</v>
      </c>
      <c r="I4" s="154" t="s">
        <v>9</v>
      </c>
      <c r="J4" s="155" t="s">
        <v>10</v>
      </c>
      <c r="K4" s="155" t="s">
        <v>11</v>
      </c>
      <c r="L4" s="155" t="s">
        <v>12</v>
      </c>
      <c r="M4" s="155" t="s">
        <v>13</v>
      </c>
      <c r="N4" s="78" t="s">
        <v>14</v>
      </c>
    </row>
    <row r="5" spans="1:14" ht="16.5" customHeight="1">
      <c r="A5" s="118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7">
        <v>46073</v>
      </c>
      <c r="B6" s="79" t="s">
        <v>4</v>
      </c>
      <c r="C6" s="80" t="s">
        <v>17</v>
      </c>
      <c r="D6" s="85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7">
        <v>46077</v>
      </c>
      <c r="B7" s="79" t="s">
        <v>19</v>
      </c>
      <c r="C7" s="80" t="s">
        <v>20</v>
      </c>
      <c r="D7" s="85"/>
      <c r="E7" s="85">
        <v>60500</v>
      </c>
      <c r="F7" s="85"/>
      <c r="G7" s="82">
        <f>G6+Table_1[[#This Row],[수입]]-Table_1[[#This Row],[지출]]</f>
        <v>24820891</v>
      </c>
      <c r="H7" s="86" t="s">
        <v>21</v>
      </c>
      <c r="I7" s="87" t="s">
        <v>22</v>
      </c>
      <c r="J7" s="79" t="s">
        <v>23</v>
      </c>
      <c r="K7" s="79" t="s">
        <v>24</v>
      </c>
      <c r="L7" s="87" t="s">
        <v>25</v>
      </c>
      <c r="M7" s="88"/>
      <c r="N7" s="77"/>
    </row>
    <row r="8" spans="1:14" ht="16.5" customHeight="1">
      <c r="A8" s="117">
        <v>46077</v>
      </c>
      <c r="B8" s="79" t="s">
        <v>19</v>
      </c>
      <c r="C8" s="80" t="s">
        <v>20</v>
      </c>
      <c r="D8" s="85"/>
      <c r="E8" s="85">
        <v>505800</v>
      </c>
      <c r="F8" s="85"/>
      <c r="G8" s="82">
        <f>G7+Table_1[[#This Row],[수입]]-Table_1[[#This Row],[지출]]</f>
        <v>24315091</v>
      </c>
      <c r="H8" s="86" t="s">
        <v>21</v>
      </c>
      <c r="I8" s="87" t="s">
        <v>22</v>
      </c>
      <c r="J8" s="79" t="s">
        <v>26</v>
      </c>
      <c r="K8" s="79" t="s">
        <v>27</v>
      </c>
      <c r="L8" s="87" t="s">
        <v>28</v>
      </c>
      <c r="M8" s="88"/>
      <c r="N8" s="77"/>
    </row>
    <row r="9" spans="1:14" ht="16.5" customHeight="1">
      <c r="A9" s="117">
        <v>46077</v>
      </c>
      <c r="B9" s="79" t="s">
        <v>19</v>
      </c>
      <c r="C9" s="80" t="s">
        <v>20</v>
      </c>
      <c r="D9" s="85"/>
      <c r="E9" s="85">
        <v>73500</v>
      </c>
      <c r="F9" s="85"/>
      <c r="G9" s="82">
        <f>G8+Table_1[[#This Row],[수입]]-Table_1[[#This Row],[지출]]</f>
        <v>24241591</v>
      </c>
      <c r="H9" s="86" t="s">
        <v>21</v>
      </c>
      <c r="I9" s="87" t="s">
        <v>22</v>
      </c>
      <c r="J9" s="79" t="s">
        <v>29</v>
      </c>
      <c r="K9" s="79" t="s">
        <v>24</v>
      </c>
      <c r="L9" s="87" t="s">
        <v>30</v>
      </c>
      <c r="M9" s="88"/>
      <c r="N9" s="77"/>
    </row>
    <row r="10" spans="1:14" ht="16.5" customHeight="1">
      <c r="A10" s="117">
        <v>46077</v>
      </c>
      <c r="B10" s="79" t="s">
        <v>19</v>
      </c>
      <c r="C10" s="80" t="s">
        <v>20</v>
      </c>
      <c r="D10" s="85"/>
      <c r="E10" s="85">
        <v>523400</v>
      </c>
      <c r="F10" s="85"/>
      <c r="G10" s="82">
        <f>G9+Table_1[[#This Row],[수입]]-Table_1[[#This Row],[지출]]</f>
        <v>23718191</v>
      </c>
      <c r="H10" s="86" t="s">
        <v>21</v>
      </c>
      <c r="I10" s="87" t="s">
        <v>22</v>
      </c>
      <c r="J10" s="79" t="s">
        <v>31</v>
      </c>
      <c r="K10" s="79" t="s">
        <v>32</v>
      </c>
      <c r="L10" s="87" t="s">
        <v>33</v>
      </c>
      <c r="M10" s="88"/>
      <c r="N10" s="77"/>
    </row>
    <row r="11" spans="1:14" ht="16.5" customHeight="1">
      <c r="A11" s="117">
        <v>46077</v>
      </c>
      <c r="B11" s="79" t="s">
        <v>19</v>
      </c>
      <c r="C11" s="80" t="s">
        <v>20</v>
      </c>
      <c r="D11" s="85"/>
      <c r="E11" s="85">
        <v>202900</v>
      </c>
      <c r="F11" s="85"/>
      <c r="G11" s="82">
        <f>G10+Table_1[[#This Row],[수입]]-Table_1[[#This Row],[지출]]</f>
        <v>23515291</v>
      </c>
      <c r="H11" s="86" t="s">
        <v>21</v>
      </c>
      <c r="I11" s="87" t="s">
        <v>22</v>
      </c>
      <c r="J11" s="79" t="s">
        <v>34</v>
      </c>
      <c r="K11" s="79" t="s">
        <v>35</v>
      </c>
      <c r="L11" s="87" t="s">
        <v>36</v>
      </c>
      <c r="M11" s="88"/>
      <c r="N11" s="77"/>
    </row>
    <row r="12" spans="1:14" ht="16.5" customHeight="1">
      <c r="A12" s="117">
        <v>46077</v>
      </c>
      <c r="B12" s="79" t="s">
        <v>19</v>
      </c>
      <c r="C12" s="80" t="s">
        <v>20</v>
      </c>
      <c r="D12" s="85"/>
      <c r="E12" s="85">
        <v>520840</v>
      </c>
      <c r="F12" s="85"/>
      <c r="G12" s="82">
        <f>G11+Table_1[[#This Row],[수입]]-Table_1[[#This Row],[지출]]</f>
        <v>22994451</v>
      </c>
      <c r="H12" s="86" t="s">
        <v>21</v>
      </c>
      <c r="I12" s="87" t="s">
        <v>22</v>
      </c>
      <c r="J12" s="79" t="s">
        <v>37</v>
      </c>
      <c r="K12" s="79" t="s">
        <v>32</v>
      </c>
      <c r="L12" s="87" t="s">
        <v>38</v>
      </c>
      <c r="M12" s="88"/>
      <c r="N12" s="77"/>
    </row>
    <row r="13" spans="1:14" ht="16.5" customHeight="1">
      <c r="A13" s="117">
        <v>46077</v>
      </c>
      <c r="B13" s="79" t="s">
        <v>19</v>
      </c>
      <c r="C13" s="80" t="s">
        <v>20</v>
      </c>
      <c r="D13" s="85"/>
      <c r="E13" s="85">
        <v>30600</v>
      </c>
      <c r="F13" s="85"/>
      <c r="G13" s="82">
        <f>G12+Table_1[[#This Row],[수입]]-Table_1[[#This Row],[지출]]</f>
        <v>22963851</v>
      </c>
      <c r="H13" s="86" t="s">
        <v>21</v>
      </c>
      <c r="I13" s="87" t="s">
        <v>22</v>
      </c>
      <c r="J13" s="79" t="s">
        <v>39</v>
      </c>
      <c r="K13" s="79" t="s">
        <v>32</v>
      </c>
      <c r="L13" s="87" t="s">
        <v>40</v>
      </c>
      <c r="M13" s="88"/>
      <c r="N13" s="77"/>
    </row>
    <row r="14" spans="1:14" ht="16.5" customHeight="1">
      <c r="A14" s="117">
        <v>46077</v>
      </c>
      <c r="B14" s="79" t="s">
        <v>19</v>
      </c>
      <c r="C14" s="80" t="s">
        <v>20</v>
      </c>
      <c r="D14" s="85"/>
      <c r="E14" s="85">
        <v>872200</v>
      </c>
      <c r="F14" s="85"/>
      <c r="G14" s="82">
        <f>G13+Table_1[[#This Row],[수입]]-Table_1[[#This Row],[지출]]</f>
        <v>22091651</v>
      </c>
      <c r="H14" s="86" t="s">
        <v>21</v>
      </c>
      <c r="I14" s="87" t="s">
        <v>22</v>
      </c>
      <c r="J14" s="79" t="s">
        <v>41</v>
      </c>
      <c r="K14" s="79" t="s">
        <v>42</v>
      </c>
      <c r="L14" s="87" t="s">
        <v>43</v>
      </c>
      <c r="M14" s="88"/>
      <c r="N14" s="77"/>
    </row>
    <row r="15" spans="1:14" ht="16.5" customHeight="1">
      <c r="A15" s="117">
        <v>46077</v>
      </c>
      <c r="B15" s="79" t="s">
        <v>19</v>
      </c>
      <c r="C15" s="80" t="s">
        <v>20</v>
      </c>
      <c r="D15" s="85"/>
      <c r="E15" s="85">
        <v>124000</v>
      </c>
      <c r="F15" s="85"/>
      <c r="G15" s="82">
        <f>G14+Table_1[[#This Row],[수입]]-Table_1[[#This Row],[지출]]</f>
        <v>21967651</v>
      </c>
      <c r="H15" s="86" t="s">
        <v>21</v>
      </c>
      <c r="I15" s="87" t="s">
        <v>22</v>
      </c>
      <c r="J15" s="79" t="s">
        <v>44</v>
      </c>
      <c r="K15" s="79" t="s">
        <v>45</v>
      </c>
      <c r="L15" s="87" t="s">
        <v>46</v>
      </c>
      <c r="M15" s="88"/>
      <c r="N15" s="77"/>
    </row>
    <row r="16" spans="1:14" ht="16.5" customHeight="1">
      <c r="A16" s="117">
        <v>46078</v>
      </c>
      <c r="B16" s="79" t="s">
        <v>4</v>
      </c>
      <c r="C16" s="80" t="s">
        <v>17</v>
      </c>
      <c r="D16" s="85">
        <v>1855000</v>
      </c>
      <c r="E16" s="85"/>
      <c r="F16" s="85"/>
      <c r="G16" s="82">
        <f>G15+Table_1[[#This Row],[수입]]-Table_1[[#This Row],[지출]]</f>
        <v>23822651</v>
      </c>
      <c r="H16" s="86" t="s">
        <v>47</v>
      </c>
      <c r="I16" s="89">
        <v>46078</v>
      </c>
      <c r="J16" s="79"/>
      <c r="K16" s="79"/>
      <c r="L16" s="87"/>
      <c r="M16" s="88"/>
      <c r="N16" s="77"/>
    </row>
    <row r="17" spans="1:15" ht="16.5" customHeight="1">
      <c r="A17" s="117">
        <v>46094</v>
      </c>
      <c r="B17" s="79" t="s">
        <v>48</v>
      </c>
      <c r="C17" s="80" t="s">
        <v>49</v>
      </c>
      <c r="D17" s="85"/>
      <c r="E17" s="85">
        <v>100000</v>
      </c>
      <c r="F17" s="85"/>
      <c r="G17" s="82">
        <f>G16+Table_1[[#This Row],[수입]]-Table_1[[#This Row],[지출]]</f>
        <v>23722651</v>
      </c>
      <c r="H17" s="86" t="s">
        <v>50</v>
      </c>
      <c r="I17" s="87" t="s">
        <v>51</v>
      </c>
      <c r="J17" s="79" t="s">
        <v>41</v>
      </c>
      <c r="K17" s="79" t="s">
        <v>32</v>
      </c>
      <c r="L17" s="87" t="s">
        <v>52</v>
      </c>
      <c r="M17" s="88" t="s">
        <v>53</v>
      </c>
      <c r="N17" s="77"/>
    </row>
    <row r="18" spans="1:15" ht="16.5" customHeight="1">
      <c r="A18" s="117">
        <v>46094</v>
      </c>
      <c r="B18" s="79" t="s">
        <v>48</v>
      </c>
      <c r="C18" s="80" t="s">
        <v>49</v>
      </c>
      <c r="D18" s="85"/>
      <c r="E18" s="85">
        <v>100000</v>
      </c>
      <c r="F18" s="85"/>
      <c r="G18" s="82">
        <f>G17+Table_1[[#This Row],[수입]]-Table_1[[#This Row],[지출]]</f>
        <v>23622651</v>
      </c>
      <c r="H18" s="86" t="s">
        <v>54</v>
      </c>
      <c r="I18" s="87"/>
      <c r="J18" s="79"/>
      <c r="K18" s="79"/>
      <c r="L18" s="87"/>
      <c r="M18" s="88"/>
      <c r="N18" s="77"/>
    </row>
    <row r="19" spans="1:15" ht="16.5" customHeight="1">
      <c r="A19" s="117">
        <v>46104</v>
      </c>
      <c r="B19" s="79" t="s">
        <v>55</v>
      </c>
      <c r="C19" s="80" t="s">
        <v>56</v>
      </c>
      <c r="D19" s="85"/>
      <c r="E19" s="85">
        <v>525000</v>
      </c>
      <c r="F19" s="85"/>
      <c r="G19" s="82">
        <f>G18+Table_1[[#This Row],[수입]]-Table_1[[#This Row],[지출]]</f>
        <v>23097651</v>
      </c>
      <c r="H19" s="86" t="s">
        <v>57</v>
      </c>
      <c r="I19" s="87" t="s">
        <v>58</v>
      </c>
      <c r="J19" s="79" t="s">
        <v>41</v>
      </c>
      <c r="K19" s="79" t="s">
        <v>42</v>
      </c>
      <c r="L19" s="87" t="s">
        <v>43</v>
      </c>
      <c r="M19" s="88"/>
      <c r="N19" s="77"/>
    </row>
    <row r="20" spans="1:15" ht="16.5" customHeight="1">
      <c r="A20" s="117">
        <v>46106</v>
      </c>
      <c r="B20" s="79" t="s">
        <v>4</v>
      </c>
      <c r="C20" s="79" t="s">
        <v>17</v>
      </c>
      <c r="D20" s="85">
        <v>1850000</v>
      </c>
      <c r="E20" s="85"/>
      <c r="F20" s="85"/>
      <c r="G20" s="82">
        <f>G19+Table_1[[#This Row],[수입]]-Table_1[[#This Row],[지출]]</f>
        <v>24947651</v>
      </c>
      <c r="H20" s="86"/>
      <c r="I20" s="87"/>
      <c r="J20" s="79"/>
      <c r="K20" s="79"/>
      <c r="L20" s="87"/>
      <c r="M20" s="88"/>
      <c r="N20" s="77"/>
    </row>
    <row r="21" spans="1:15" ht="16.5" customHeight="1">
      <c r="A21" s="117">
        <v>46106</v>
      </c>
      <c r="B21" s="79" t="s">
        <v>48</v>
      </c>
      <c r="C21" s="79" t="s">
        <v>59</v>
      </c>
      <c r="D21" s="85"/>
      <c r="E21" s="85">
        <v>13500</v>
      </c>
      <c r="F21" s="85"/>
      <c r="G21" s="82">
        <f>G20+Table_1[[#This Row],[수입]]-Table_1[[#This Row],[지출]]</f>
        <v>24934151</v>
      </c>
      <c r="H21" s="86" t="s">
        <v>60</v>
      </c>
      <c r="I21" s="87" t="s">
        <v>61</v>
      </c>
      <c r="J21" s="79" t="s">
        <v>37</v>
      </c>
      <c r="K21" s="79" t="s">
        <v>32</v>
      </c>
      <c r="L21" s="87" t="s">
        <v>38</v>
      </c>
      <c r="M21" s="88"/>
      <c r="N21" s="77"/>
    </row>
    <row r="22" spans="1:15" ht="16.5" customHeight="1">
      <c r="A22" s="117">
        <v>46111</v>
      </c>
      <c r="B22" s="79" t="s">
        <v>48</v>
      </c>
      <c r="C22" s="80" t="s">
        <v>59</v>
      </c>
      <c r="D22" s="85"/>
      <c r="E22" s="85">
        <v>80000</v>
      </c>
      <c r="F22" s="85"/>
      <c r="G22" s="82">
        <f>G21+Table_1[[#This Row],[수입]]-Table_1[[#This Row],[지출]]</f>
        <v>24854151</v>
      </c>
      <c r="H22" s="86" t="s">
        <v>62</v>
      </c>
      <c r="I22" s="87" t="s">
        <v>63</v>
      </c>
      <c r="J22" s="79" t="s">
        <v>23</v>
      </c>
      <c r="K22" s="79" t="s">
        <v>24</v>
      </c>
      <c r="L22" s="87" t="s">
        <v>25</v>
      </c>
      <c r="M22" s="88"/>
      <c r="N22" s="77"/>
    </row>
    <row r="23" spans="1:15" ht="16.5" customHeight="1">
      <c r="A23" s="117">
        <v>46111</v>
      </c>
      <c r="B23" s="79" t="s">
        <v>48</v>
      </c>
      <c r="C23" s="80" t="s">
        <v>59</v>
      </c>
      <c r="D23" s="85"/>
      <c r="E23" s="85">
        <v>104000</v>
      </c>
      <c r="F23" s="85"/>
      <c r="G23" s="82">
        <f>G22+Table_1[[#This Row],[수입]]-Table_1[[#This Row],[지출]]</f>
        <v>24750151</v>
      </c>
      <c r="H23" s="86" t="s">
        <v>64</v>
      </c>
      <c r="I23" s="87" t="s">
        <v>65</v>
      </c>
      <c r="J23" s="79" t="s">
        <v>37</v>
      </c>
      <c r="K23" s="79" t="s">
        <v>32</v>
      </c>
      <c r="L23" s="87" t="s">
        <v>38</v>
      </c>
      <c r="M23" s="88"/>
      <c r="N23" s="77"/>
    </row>
    <row r="24" spans="1:15" ht="16.5" customHeight="1">
      <c r="A24" s="117">
        <v>46112</v>
      </c>
      <c r="B24" s="79" t="s">
        <v>48</v>
      </c>
      <c r="C24" s="80" t="s">
        <v>59</v>
      </c>
      <c r="D24" s="85"/>
      <c r="E24" s="85">
        <v>176000</v>
      </c>
      <c r="F24" s="85"/>
      <c r="G24" s="82">
        <f>G23+Table_1[[#This Row],[수입]]-Table_1[[#This Row],[지출]]</f>
        <v>24574151</v>
      </c>
      <c r="H24" s="86" t="s">
        <v>66</v>
      </c>
      <c r="I24" s="87" t="s">
        <v>65</v>
      </c>
      <c r="J24" s="79" t="s">
        <v>41</v>
      </c>
      <c r="K24" s="79" t="s">
        <v>42</v>
      </c>
      <c r="L24" s="87" t="s">
        <v>43</v>
      </c>
      <c r="M24" s="88"/>
      <c r="N24" s="77"/>
    </row>
    <row r="25" spans="1:15" ht="16.5" customHeight="1">
      <c r="A25" s="117">
        <v>46119</v>
      </c>
      <c r="B25" s="79" t="s">
        <v>48</v>
      </c>
      <c r="C25" s="80" t="s">
        <v>59</v>
      </c>
      <c r="D25" s="85"/>
      <c r="E25" s="85">
        <v>12700</v>
      </c>
      <c r="F25" s="85"/>
      <c r="G25" s="82">
        <f>G24+Table_1[[#This Row],[수입]]-Table_1[[#This Row],[지출]]</f>
        <v>24561451</v>
      </c>
      <c r="H25" s="86" t="s">
        <v>67</v>
      </c>
      <c r="I25" s="87" t="s">
        <v>68</v>
      </c>
      <c r="J25" s="79" t="s">
        <v>23</v>
      </c>
      <c r="K25" s="79" t="s">
        <v>24</v>
      </c>
      <c r="L25" s="87" t="s">
        <v>25</v>
      </c>
      <c r="M25" s="88"/>
      <c r="N25" s="77"/>
    </row>
    <row r="26" spans="1:15" ht="16.5" customHeight="1">
      <c r="A26" s="117">
        <v>46121</v>
      </c>
      <c r="B26" s="79" t="s">
        <v>55</v>
      </c>
      <c r="C26" s="80" t="s">
        <v>56</v>
      </c>
      <c r="D26" s="85"/>
      <c r="E26" s="85">
        <v>343700</v>
      </c>
      <c r="F26" s="85"/>
      <c r="G26" s="82">
        <f>G25+Table_1[[#This Row],[수입]]-Table_1[[#This Row],[지출]]</f>
        <v>24217751</v>
      </c>
      <c r="H26" s="86" t="s">
        <v>69</v>
      </c>
      <c r="I26" s="87" t="s">
        <v>70</v>
      </c>
      <c r="J26" s="79" t="s">
        <v>37</v>
      </c>
      <c r="K26" s="79" t="s">
        <v>32</v>
      </c>
      <c r="L26" s="87" t="s">
        <v>38</v>
      </c>
      <c r="M26" s="88"/>
      <c r="N26" s="77"/>
    </row>
    <row r="27" spans="1:15" ht="16.5" customHeight="1">
      <c r="A27" s="117">
        <v>46125</v>
      </c>
      <c r="B27" s="79" t="s">
        <v>55</v>
      </c>
      <c r="C27" s="80" t="s">
        <v>56</v>
      </c>
      <c r="D27" s="85"/>
      <c r="E27" s="85">
        <v>61500</v>
      </c>
      <c r="F27" s="85"/>
      <c r="G27" s="82">
        <f>G26+Table_1[[#This Row],[수입]]-Table_1[[#This Row],[지출]]</f>
        <v>24156251</v>
      </c>
      <c r="H27" s="86" t="s">
        <v>71</v>
      </c>
      <c r="I27" s="87" t="s">
        <v>72</v>
      </c>
      <c r="J27" s="79" t="s">
        <v>37</v>
      </c>
      <c r="K27" s="79" t="s">
        <v>32</v>
      </c>
      <c r="L27" s="87" t="s">
        <v>38</v>
      </c>
      <c r="M27" s="88"/>
      <c r="N27" s="77"/>
    </row>
    <row r="28" spans="1:15" ht="16.5" customHeight="1">
      <c r="A28" s="117">
        <v>46125</v>
      </c>
      <c r="B28" s="79" t="s">
        <v>55</v>
      </c>
      <c r="C28" s="80" t="s">
        <v>56</v>
      </c>
      <c r="D28" s="85"/>
      <c r="E28" s="85">
        <v>70900</v>
      </c>
      <c r="F28" s="85"/>
      <c r="G28" s="82">
        <f>G27+Table_1[[#This Row],[수입]]-Table_1[[#This Row],[지출]]</f>
        <v>24085351</v>
      </c>
      <c r="H28" s="86" t="s">
        <v>73</v>
      </c>
      <c r="I28" s="87" t="s">
        <v>72</v>
      </c>
      <c r="J28" s="79" t="s">
        <v>37</v>
      </c>
      <c r="K28" s="79" t="s">
        <v>32</v>
      </c>
      <c r="L28" s="87" t="s">
        <v>38</v>
      </c>
      <c r="M28" s="88"/>
      <c r="N28" s="77"/>
    </row>
    <row r="29" spans="1:15" ht="16.5" customHeight="1">
      <c r="A29" s="117">
        <v>46127</v>
      </c>
      <c r="B29" s="79" t="s">
        <v>55</v>
      </c>
      <c r="C29" s="80" t="s">
        <v>56</v>
      </c>
      <c r="D29" s="85"/>
      <c r="E29" s="85">
        <v>24000</v>
      </c>
      <c r="F29" s="85"/>
      <c r="G29" s="82">
        <f>G28+Table_1[[#This Row],[수입]]-Table_1[[#This Row],[지출]]</f>
        <v>24061351</v>
      </c>
      <c r="H29" s="90" t="s">
        <v>74</v>
      </c>
      <c r="I29" s="87" t="s">
        <v>75</v>
      </c>
      <c r="J29" s="79" t="s">
        <v>37</v>
      </c>
      <c r="K29" s="79" t="s">
        <v>32</v>
      </c>
      <c r="L29" s="87" t="s">
        <v>38</v>
      </c>
      <c r="M29" s="88"/>
      <c r="N29" s="77"/>
      <c r="O29" s="265" t="s">
        <v>76</v>
      </c>
    </row>
    <row r="30" spans="1:15" ht="16.5" customHeight="1">
      <c r="A30" s="117">
        <v>46127</v>
      </c>
      <c r="B30" s="79" t="s">
        <v>55</v>
      </c>
      <c r="C30" s="80" t="s">
        <v>56</v>
      </c>
      <c r="D30" s="85"/>
      <c r="E30" s="85">
        <v>118600</v>
      </c>
      <c r="F30" s="85"/>
      <c r="G30" s="82">
        <f>G29+Table_1[[#This Row],[수입]]-Table_1[[#This Row],[지출]]</f>
        <v>23942751</v>
      </c>
      <c r="H30" s="90" t="s">
        <v>77</v>
      </c>
      <c r="I30" s="87" t="s">
        <v>75</v>
      </c>
      <c r="J30" s="79" t="s">
        <v>37</v>
      </c>
      <c r="K30" s="79" t="s">
        <v>32</v>
      </c>
      <c r="L30" s="87" t="s">
        <v>38</v>
      </c>
      <c r="M30" s="88"/>
      <c r="N30" s="77"/>
      <c r="O30" s="179"/>
    </row>
    <row r="31" spans="1:15" ht="16.5" customHeight="1">
      <c r="A31" s="117">
        <v>46127</v>
      </c>
      <c r="B31" s="79" t="s">
        <v>55</v>
      </c>
      <c r="C31" s="80" t="s">
        <v>56</v>
      </c>
      <c r="D31" s="85"/>
      <c r="E31" s="85">
        <v>25500</v>
      </c>
      <c r="F31" s="85"/>
      <c r="G31" s="82">
        <f>G30+Table_1[[#This Row],[수입]]-Table_1[[#This Row],[지출]]</f>
        <v>23917251</v>
      </c>
      <c r="H31" s="90" t="s">
        <v>78</v>
      </c>
      <c r="I31" s="87" t="s">
        <v>75</v>
      </c>
      <c r="J31" s="79" t="s">
        <v>23</v>
      </c>
      <c r="K31" s="79" t="s">
        <v>24</v>
      </c>
      <c r="L31" s="87" t="s">
        <v>25</v>
      </c>
      <c r="M31" s="88"/>
      <c r="N31" s="77"/>
      <c r="O31" s="179"/>
    </row>
    <row r="32" spans="1:15" ht="16.5" customHeight="1">
      <c r="A32" s="117">
        <v>46127</v>
      </c>
      <c r="B32" s="79" t="s">
        <v>55</v>
      </c>
      <c r="C32" s="80" t="s">
        <v>56</v>
      </c>
      <c r="D32" s="85"/>
      <c r="E32" s="85">
        <v>26000</v>
      </c>
      <c r="F32" s="85"/>
      <c r="G32" s="82">
        <f>G31+Table_1[[#This Row],[수입]]-Table_1[[#This Row],[지출]]</f>
        <v>23891251</v>
      </c>
      <c r="H32" s="90" t="s">
        <v>79</v>
      </c>
      <c r="I32" s="87" t="s">
        <v>75</v>
      </c>
      <c r="J32" s="79" t="s">
        <v>23</v>
      </c>
      <c r="K32" s="79" t="s">
        <v>24</v>
      </c>
      <c r="L32" s="87" t="s">
        <v>25</v>
      </c>
      <c r="M32" s="88"/>
      <c r="N32" s="77"/>
      <c r="O32" s="179"/>
    </row>
    <row r="33" spans="1:16" ht="16.5" customHeight="1">
      <c r="A33" s="117">
        <v>46127</v>
      </c>
      <c r="B33" s="79" t="s">
        <v>55</v>
      </c>
      <c r="C33" s="80" t="s">
        <v>56</v>
      </c>
      <c r="D33" s="85"/>
      <c r="E33" s="85">
        <v>17500</v>
      </c>
      <c r="F33" s="85"/>
      <c r="G33" s="82">
        <f>G32+Table_1[[#This Row],[수입]]-Table_1[[#This Row],[지출]]</f>
        <v>23873751</v>
      </c>
      <c r="H33" s="90" t="s">
        <v>80</v>
      </c>
      <c r="I33" s="87" t="s">
        <v>75</v>
      </c>
      <c r="J33" s="79" t="s">
        <v>34</v>
      </c>
      <c r="K33" s="79" t="s">
        <v>35</v>
      </c>
      <c r="L33" s="87" t="s">
        <v>36</v>
      </c>
      <c r="M33" s="88"/>
      <c r="N33" s="77"/>
      <c r="O33" s="179"/>
    </row>
    <row r="34" spans="1:16" ht="16.5" customHeight="1">
      <c r="A34" s="117">
        <v>46127</v>
      </c>
      <c r="B34" s="79" t="s">
        <v>55</v>
      </c>
      <c r="C34" s="80" t="s">
        <v>56</v>
      </c>
      <c r="D34" s="85"/>
      <c r="E34" s="85">
        <v>29300</v>
      </c>
      <c r="F34" s="85"/>
      <c r="G34" s="82">
        <f>G33+Table_1[[#This Row],[수입]]-Table_1[[#This Row],[지출]]</f>
        <v>23844451</v>
      </c>
      <c r="H34" s="90" t="s">
        <v>81</v>
      </c>
      <c r="I34" s="87" t="s">
        <v>75</v>
      </c>
      <c r="J34" s="79" t="s">
        <v>41</v>
      </c>
      <c r="K34" s="79" t="s">
        <v>42</v>
      </c>
      <c r="L34" s="87" t="s">
        <v>43</v>
      </c>
      <c r="M34" s="88"/>
      <c r="N34" s="77"/>
      <c r="O34" s="179"/>
    </row>
    <row r="35" spans="1:16" ht="16.5" customHeight="1">
      <c r="A35" s="117">
        <v>46127</v>
      </c>
      <c r="B35" s="79" t="s">
        <v>55</v>
      </c>
      <c r="C35" s="80" t="s">
        <v>56</v>
      </c>
      <c r="D35" s="85"/>
      <c r="E35" s="85">
        <v>200000</v>
      </c>
      <c r="F35" s="85"/>
      <c r="G35" s="82">
        <f>G34+Table_1[[#This Row],[수입]]-Table_1[[#This Row],[지출]]</f>
        <v>23644451</v>
      </c>
      <c r="H35" s="90" t="s">
        <v>82</v>
      </c>
      <c r="I35" s="87" t="s">
        <v>75</v>
      </c>
      <c r="J35" s="79" t="s">
        <v>41</v>
      </c>
      <c r="K35" s="79" t="s">
        <v>42</v>
      </c>
      <c r="L35" s="87" t="s">
        <v>43</v>
      </c>
      <c r="M35" s="88"/>
      <c r="N35" s="77"/>
      <c r="O35" s="179"/>
    </row>
    <row r="36" spans="1:16" ht="16.5" customHeight="1">
      <c r="A36" s="117">
        <v>46128</v>
      </c>
      <c r="B36" s="79" t="s">
        <v>55</v>
      </c>
      <c r="C36" s="79" t="s">
        <v>56</v>
      </c>
      <c r="D36" s="85"/>
      <c r="E36" s="85">
        <v>21700</v>
      </c>
      <c r="F36" s="85"/>
      <c r="G36" s="82">
        <f>G35+Table_1[[#This Row],[수입]]-Table_1[[#This Row],[지출]]</f>
        <v>23622751</v>
      </c>
      <c r="H36" s="90" t="s">
        <v>83</v>
      </c>
      <c r="I36" s="87" t="s">
        <v>84</v>
      </c>
      <c r="J36" s="79" t="s">
        <v>37</v>
      </c>
      <c r="K36" s="79" t="s">
        <v>32</v>
      </c>
      <c r="L36" s="87" t="s">
        <v>38</v>
      </c>
      <c r="M36" s="88"/>
      <c r="N36" s="77"/>
      <c r="O36" s="179"/>
      <c r="P36" s="75"/>
    </row>
    <row r="37" spans="1:16" ht="16.5" customHeight="1">
      <c r="A37" s="117">
        <v>46128</v>
      </c>
      <c r="B37" s="79" t="s">
        <v>55</v>
      </c>
      <c r="C37" s="79" t="s">
        <v>56</v>
      </c>
      <c r="D37" s="85"/>
      <c r="E37" s="85">
        <v>3000</v>
      </c>
      <c r="F37" s="85"/>
      <c r="G37" s="82">
        <f>G36+Table_1[[#This Row],[수입]]-Table_1[[#This Row],[지출]]</f>
        <v>23619751</v>
      </c>
      <c r="H37" s="90" t="s">
        <v>85</v>
      </c>
      <c r="I37" s="87" t="s">
        <v>84</v>
      </c>
      <c r="J37" s="79" t="s">
        <v>23</v>
      </c>
      <c r="K37" s="79" t="s">
        <v>24</v>
      </c>
      <c r="L37" s="87" t="s">
        <v>25</v>
      </c>
      <c r="M37" s="88"/>
      <c r="N37" s="77"/>
      <c r="O37" s="179"/>
    </row>
    <row r="38" spans="1:16" ht="16.5" customHeight="1">
      <c r="A38" s="117">
        <v>46128</v>
      </c>
      <c r="B38" s="79" t="s">
        <v>55</v>
      </c>
      <c r="C38" s="79" t="s">
        <v>56</v>
      </c>
      <c r="D38" s="85"/>
      <c r="E38" s="85">
        <v>18000</v>
      </c>
      <c r="F38" s="85"/>
      <c r="G38" s="82">
        <f>G37+Table_1[[#This Row],[수입]]-Table_1[[#This Row],[지출]]</f>
        <v>23601751</v>
      </c>
      <c r="H38" s="90" t="s">
        <v>86</v>
      </c>
      <c r="I38" s="87" t="s">
        <v>84</v>
      </c>
      <c r="J38" s="79" t="s">
        <v>23</v>
      </c>
      <c r="K38" s="79" t="s">
        <v>24</v>
      </c>
      <c r="L38" s="87" t="s">
        <v>25</v>
      </c>
      <c r="M38" s="88"/>
      <c r="N38" s="77"/>
      <c r="O38" s="179"/>
    </row>
    <row r="39" spans="1:16" ht="16.5" customHeight="1">
      <c r="A39" s="117">
        <v>46128</v>
      </c>
      <c r="B39" s="79" t="s">
        <v>55</v>
      </c>
      <c r="C39" s="79" t="s">
        <v>56</v>
      </c>
      <c r="D39" s="85"/>
      <c r="E39" s="85">
        <v>14600</v>
      </c>
      <c r="F39" s="85"/>
      <c r="G39" s="82">
        <f>G38+Table_1[[#This Row],[수입]]-Table_1[[#This Row],[지출]]</f>
        <v>23587151</v>
      </c>
      <c r="H39" s="90" t="s">
        <v>87</v>
      </c>
      <c r="I39" s="87" t="s">
        <v>84</v>
      </c>
      <c r="J39" s="79" t="s">
        <v>41</v>
      </c>
      <c r="K39" s="79" t="s">
        <v>42</v>
      </c>
      <c r="L39" s="87" t="s">
        <v>43</v>
      </c>
      <c r="M39" s="88"/>
      <c r="N39" s="77"/>
      <c r="O39" s="179"/>
    </row>
    <row r="40" spans="1:16" ht="16.5" customHeight="1">
      <c r="A40" s="117">
        <v>46128</v>
      </c>
      <c r="B40" s="79" t="s">
        <v>55</v>
      </c>
      <c r="C40" s="79" t="s">
        <v>56</v>
      </c>
      <c r="D40" s="85"/>
      <c r="E40" s="121">
        <v>92000</v>
      </c>
      <c r="F40" s="85"/>
      <c r="G40" s="82">
        <f>G39+Table_1[[#This Row],[수입]]-Table_1[[#This Row],[지출]]</f>
        <v>23495151</v>
      </c>
      <c r="H40" s="90" t="s">
        <v>88</v>
      </c>
      <c r="I40" s="87" t="s">
        <v>84</v>
      </c>
      <c r="J40" s="79" t="s">
        <v>41</v>
      </c>
      <c r="K40" s="79" t="s">
        <v>42</v>
      </c>
      <c r="L40" s="87" t="s">
        <v>43</v>
      </c>
      <c r="M40" s="88"/>
      <c r="N40" s="77"/>
      <c r="O40" s="179"/>
    </row>
    <row r="41" spans="1:16" ht="16.5" customHeight="1">
      <c r="A41" s="117">
        <v>46128</v>
      </c>
      <c r="B41" s="79" t="s">
        <v>55</v>
      </c>
      <c r="C41" s="79" t="s">
        <v>56</v>
      </c>
      <c r="D41" s="85"/>
      <c r="E41" s="121">
        <v>200000</v>
      </c>
      <c r="F41" s="85"/>
      <c r="G41" s="82">
        <f>G40+Table_1[[#This Row],[수입]]-Table_1[[#This Row],[지출]]</f>
        <v>23295151</v>
      </c>
      <c r="H41" s="90" t="s">
        <v>88</v>
      </c>
      <c r="I41" s="87" t="s">
        <v>84</v>
      </c>
      <c r="J41" s="79" t="s">
        <v>41</v>
      </c>
      <c r="K41" s="79" t="s">
        <v>42</v>
      </c>
      <c r="L41" s="87" t="s">
        <v>43</v>
      </c>
      <c r="M41" s="88"/>
      <c r="N41" s="77"/>
      <c r="O41" s="179"/>
    </row>
    <row r="42" spans="1:16" ht="16.5" customHeight="1">
      <c r="A42" s="117">
        <v>46128</v>
      </c>
      <c r="B42" s="79" t="s">
        <v>55</v>
      </c>
      <c r="C42" s="79" t="s">
        <v>56</v>
      </c>
      <c r="D42" s="85"/>
      <c r="E42" s="121">
        <v>43000</v>
      </c>
      <c r="F42" s="85"/>
      <c r="G42" s="82">
        <f>G41+Table_1[[#This Row],[수입]]-Table_1[[#This Row],[지출]]</f>
        <v>23252151</v>
      </c>
      <c r="H42" s="90" t="s">
        <v>89</v>
      </c>
      <c r="I42" s="87" t="s">
        <v>84</v>
      </c>
      <c r="J42" s="79" t="s">
        <v>37</v>
      </c>
      <c r="K42" s="79" t="s">
        <v>32</v>
      </c>
      <c r="L42" s="87" t="s">
        <v>38</v>
      </c>
      <c r="M42" s="88"/>
      <c r="N42" s="77"/>
      <c r="O42" s="179"/>
    </row>
    <row r="43" spans="1:16" ht="16.5" customHeight="1">
      <c r="A43" s="117">
        <v>46128</v>
      </c>
      <c r="B43" s="79" t="s">
        <v>55</v>
      </c>
      <c r="C43" s="79" t="s">
        <v>56</v>
      </c>
      <c r="D43" s="85"/>
      <c r="E43" s="121">
        <v>30000</v>
      </c>
      <c r="F43" s="85"/>
      <c r="G43" s="82">
        <f>G42+Table_1[[#This Row],[수입]]-Table_1[[#This Row],[지출]]</f>
        <v>23222151</v>
      </c>
      <c r="H43" s="90" t="s">
        <v>89</v>
      </c>
      <c r="I43" s="87" t="s">
        <v>84</v>
      </c>
      <c r="J43" s="79" t="s">
        <v>37</v>
      </c>
      <c r="K43" s="79" t="s">
        <v>32</v>
      </c>
      <c r="L43" s="87" t="s">
        <v>38</v>
      </c>
      <c r="M43" s="88"/>
      <c r="N43" s="77"/>
      <c r="O43" s="179"/>
    </row>
    <row r="44" spans="1:16" ht="16.5" customHeight="1">
      <c r="A44" s="117">
        <v>46128</v>
      </c>
      <c r="B44" s="79" t="s">
        <v>55</v>
      </c>
      <c r="C44" s="79" t="s">
        <v>56</v>
      </c>
      <c r="D44" s="85"/>
      <c r="E44" s="121">
        <v>84000</v>
      </c>
      <c r="F44" s="85"/>
      <c r="G44" s="82">
        <f>G43+Table_1[[#This Row],[수입]]-Table_1[[#This Row],[지출]]</f>
        <v>23138151</v>
      </c>
      <c r="H44" s="90" t="s">
        <v>89</v>
      </c>
      <c r="I44" s="87" t="s">
        <v>84</v>
      </c>
      <c r="J44" s="79" t="s">
        <v>37</v>
      </c>
      <c r="K44" s="79" t="s">
        <v>32</v>
      </c>
      <c r="L44" s="87" t="s">
        <v>38</v>
      </c>
      <c r="M44" s="88"/>
      <c r="N44" s="77"/>
      <c r="O44" s="179"/>
    </row>
    <row r="45" spans="1:16" ht="16.5" customHeight="1">
      <c r="A45" s="117">
        <v>46128</v>
      </c>
      <c r="B45" s="79" t="s">
        <v>55</v>
      </c>
      <c r="C45" s="79" t="s">
        <v>56</v>
      </c>
      <c r="D45" s="85"/>
      <c r="E45" s="121">
        <v>67000</v>
      </c>
      <c r="F45" s="85"/>
      <c r="G45" s="82">
        <f>G44+Table_1[[#This Row],[수입]]-Table_1[[#This Row],[지출]]</f>
        <v>23071151</v>
      </c>
      <c r="H45" s="90" t="s">
        <v>89</v>
      </c>
      <c r="I45" s="87" t="s">
        <v>84</v>
      </c>
      <c r="J45" s="79" t="s">
        <v>37</v>
      </c>
      <c r="K45" s="79" t="s">
        <v>32</v>
      </c>
      <c r="L45" s="87" t="s">
        <v>38</v>
      </c>
      <c r="M45" s="88"/>
      <c r="N45" s="77"/>
      <c r="O45" s="179"/>
      <c r="P45" s="75"/>
    </row>
    <row r="46" spans="1:16" ht="16.5" customHeight="1">
      <c r="A46" s="117">
        <v>46128</v>
      </c>
      <c r="B46" s="79" t="s">
        <v>55</v>
      </c>
      <c r="C46" s="79" t="s">
        <v>56</v>
      </c>
      <c r="D46" s="85"/>
      <c r="E46" s="85">
        <v>50000</v>
      </c>
      <c r="F46" s="85"/>
      <c r="G46" s="82">
        <f>G45+Table_1[[#This Row],[수입]]-Table_1[[#This Row],[지출]]</f>
        <v>23021151</v>
      </c>
      <c r="H46" s="90" t="s">
        <v>90</v>
      </c>
      <c r="I46" s="87" t="s">
        <v>84</v>
      </c>
      <c r="J46" s="79" t="s">
        <v>91</v>
      </c>
      <c r="K46" s="79" t="s">
        <v>24</v>
      </c>
      <c r="L46" s="87"/>
      <c r="M46" s="88"/>
      <c r="N46" s="77"/>
      <c r="O46" s="179"/>
    </row>
    <row r="47" spans="1:16" ht="16.5" customHeight="1">
      <c r="A47" s="117">
        <v>46128</v>
      </c>
      <c r="B47" s="79" t="s">
        <v>55</v>
      </c>
      <c r="C47" s="79" t="s">
        <v>56</v>
      </c>
      <c r="D47" s="85"/>
      <c r="E47" s="85">
        <v>31000</v>
      </c>
      <c r="F47" s="85"/>
      <c r="G47" s="82">
        <f>G46+Table_1[[#This Row],[수입]]-Table_1[[#This Row],[지출]]</f>
        <v>22990151</v>
      </c>
      <c r="H47" s="90" t="s">
        <v>92</v>
      </c>
      <c r="I47" s="87" t="s">
        <v>93</v>
      </c>
      <c r="J47" s="79" t="s">
        <v>29</v>
      </c>
      <c r="K47" s="79" t="s">
        <v>24</v>
      </c>
      <c r="L47" s="87"/>
      <c r="M47" s="88"/>
      <c r="N47" s="77"/>
      <c r="O47" s="179"/>
    </row>
    <row r="48" spans="1:16" ht="16.5" customHeight="1">
      <c r="A48" s="117">
        <v>46128</v>
      </c>
      <c r="B48" s="79" t="s">
        <v>55</v>
      </c>
      <c r="C48" s="79" t="s">
        <v>56</v>
      </c>
      <c r="D48" s="85"/>
      <c r="E48" s="85">
        <v>64500</v>
      </c>
      <c r="F48" s="85"/>
      <c r="G48" s="82">
        <f>G47+Table_1[[#This Row],[수입]]-Table_1[[#This Row],[지출]]</f>
        <v>22925651</v>
      </c>
      <c r="H48" s="90" t="s">
        <v>94</v>
      </c>
      <c r="I48" s="87" t="s">
        <v>93</v>
      </c>
      <c r="J48" s="79" t="s">
        <v>26</v>
      </c>
      <c r="K48" s="79" t="s">
        <v>24</v>
      </c>
      <c r="L48" s="87"/>
      <c r="M48" s="88"/>
      <c r="N48" s="77"/>
      <c r="O48" s="179"/>
    </row>
    <row r="49" spans="1:15" ht="16.5" customHeight="1">
      <c r="A49" s="117">
        <v>46128</v>
      </c>
      <c r="B49" s="79" t="s">
        <v>55</v>
      </c>
      <c r="C49" s="79" t="s">
        <v>56</v>
      </c>
      <c r="D49" s="85"/>
      <c r="E49" s="85">
        <v>43600</v>
      </c>
      <c r="F49" s="85"/>
      <c r="G49" s="82">
        <f>G48+Table_1[[#This Row],[수입]]-Table_1[[#This Row],[지출]]</f>
        <v>22882051</v>
      </c>
      <c r="H49" s="90" t="s">
        <v>95</v>
      </c>
      <c r="I49" s="87" t="s">
        <v>93</v>
      </c>
      <c r="J49" s="79" t="s">
        <v>23</v>
      </c>
      <c r="K49" s="79" t="s">
        <v>24</v>
      </c>
      <c r="L49" s="87"/>
      <c r="M49" s="88"/>
      <c r="N49" s="77"/>
      <c r="O49" s="179"/>
    </row>
    <row r="50" spans="1:15" ht="16.5" customHeight="1">
      <c r="A50" s="117">
        <v>46135</v>
      </c>
      <c r="B50" s="79" t="s">
        <v>55</v>
      </c>
      <c r="C50" s="79" t="s">
        <v>56</v>
      </c>
      <c r="D50" s="85"/>
      <c r="E50" s="85">
        <v>37200</v>
      </c>
      <c r="F50" s="85"/>
      <c r="G50" s="82">
        <f>G49+Table_1[[#This Row],[수입]]-Table_1[[#This Row],[지출]]</f>
        <v>22844851</v>
      </c>
      <c r="H50" s="90" t="s">
        <v>96</v>
      </c>
      <c r="I50" s="87" t="s">
        <v>97</v>
      </c>
      <c r="J50" s="79" t="s">
        <v>37</v>
      </c>
      <c r="K50" s="79" t="s">
        <v>24</v>
      </c>
      <c r="L50" s="87"/>
      <c r="M50" s="88"/>
      <c r="N50" s="77"/>
      <c r="O50" s="91"/>
    </row>
    <row r="51" spans="1:15" ht="16.5" customHeight="1">
      <c r="A51" s="117">
        <v>46137</v>
      </c>
      <c r="B51" s="79" t="s">
        <v>4</v>
      </c>
      <c r="C51" s="79" t="s">
        <v>17</v>
      </c>
      <c r="D51" s="85">
        <v>1855000</v>
      </c>
      <c r="E51" s="85"/>
      <c r="F51" s="85"/>
      <c r="G51" s="82">
        <f>G50+Table_1[[#This Row],[수입]]-Table_1[[#This Row],[지출]]</f>
        <v>24699851</v>
      </c>
      <c r="H51" s="90"/>
      <c r="I51" s="87"/>
      <c r="J51" s="79"/>
      <c r="K51" s="79"/>
      <c r="L51" s="87"/>
      <c r="M51" s="88"/>
      <c r="N51" s="77"/>
      <c r="O51" s="91"/>
    </row>
    <row r="52" spans="1:15" ht="16.5" customHeight="1">
      <c r="A52" s="117">
        <v>46139</v>
      </c>
      <c r="B52" s="79" t="s">
        <v>48</v>
      </c>
      <c r="C52" s="79" t="s">
        <v>59</v>
      </c>
      <c r="D52" s="85"/>
      <c r="E52" s="85">
        <v>14100</v>
      </c>
      <c r="F52" s="85"/>
      <c r="G52" s="82">
        <f>G51+Table_1[[#This Row],[수입]]-Table_1[[#This Row],[지출]]</f>
        <v>24685751</v>
      </c>
      <c r="H52" s="92" t="s">
        <v>98</v>
      </c>
      <c r="I52" s="87" t="s">
        <v>99</v>
      </c>
      <c r="J52" s="79" t="s">
        <v>41</v>
      </c>
      <c r="K52" s="79" t="s">
        <v>42</v>
      </c>
      <c r="L52" s="87"/>
      <c r="M52" s="88"/>
      <c r="N52" s="77"/>
      <c r="O52" s="268" t="s">
        <v>100</v>
      </c>
    </row>
    <row r="53" spans="1:15" ht="16.5" customHeight="1">
      <c r="A53" s="117">
        <v>46139</v>
      </c>
      <c r="B53" s="79" t="s">
        <v>55</v>
      </c>
      <c r="C53" s="79" t="s">
        <v>56</v>
      </c>
      <c r="D53" s="85"/>
      <c r="E53" s="85">
        <v>230000</v>
      </c>
      <c r="F53" s="85"/>
      <c r="G53" s="82">
        <f>G52+Table_1[[#This Row],[수입]]-Table_1[[#This Row],[지출]]</f>
        <v>24455751</v>
      </c>
      <c r="H53" s="92" t="s">
        <v>101</v>
      </c>
      <c r="I53" s="87" t="s">
        <v>99</v>
      </c>
      <c r="J53" s="79" t="s">
        <v>41</v>
      </c>
      <c r="K53" s="79" t="s">
        <v>42</v>
      </c>
      <c r="L53" s="87"/>
      <c r="M53" s="88"/>
      <c r="N53" s="77"/>
      <c r="O53" s="179"/>
    </row>
    <row r="54" spans="1:15" ht="16.5" customHeight="1">
      <c r="A54" s="117">
        <v>46140</v>
      </c>
      <c r="B54" s="79" t="s">
        <v>48</v>
      </c>
      <c r="C54" s="79" t="s">
        <v>59</v>
      </c>
      <c r="D54" s="85"/>
      <c r="E54" s="85">
        <v>10000</v>
      </c>
      <c r="F54" s="85"/>
      <c r="G54" s="82">
        <f>G53+Table_1[[#This Row],[수입]]-Table_1[[#This Row],[지출]]</f>
        <v>24445751</v>
      </c>
      <c r="H54" s="92" t="s">
        <v>102</v>
      </c>
      <c r="I54" s="87" t="s">
        <v>103</v>
      </c>
      <c r="J54" s="79" t="s">
        <v>37</v>
      </c>
      <c r="K54" s="79" t="s">
        <v>24</v>
      </c>
      <c r="L54" s="87"/>
      <c r="M54" s="88"/>
      <c r="N54" s="77"/>
      <c r="O54" s="179"/>
    </row>
    <row r="55" spans="1:15" ht="16.5" customHeight="1">
      <c r="A55" s="117">
        <v>46142</v>
      </c>
      <c r="B55" s="79" t="s">
        <v>48</v>
      </c>
      <c r="C55" s="79" t="s">
        <v>104</v>
      </c>
      <c r="D55" s="85"/>
      <c r="E55" s="85">
        <v>166000</v>
      </c>
      <c r="F55" s="85"/>
      <c r="G55" s="82">
        <f>G54+Table_1[[#This Row],[수입]]-Table_1[[#This Row],[지출]]</f>
        <v>24279751</v>
      </c>
      <c r="H55" s="86" t="s">
        <v>105</v>
      </c>
      <c r="I55" s="87" t="s">
        <v>106</v>
      </c>
      <c r="J55" s="79" t="s">
        <v>41</v>
      </c>
      <c r="K55" s="79" t="s">
        <v>42</v>
      </c>
      <c r="L55" s="87"/>
      <c r="M55" s="88"/>
      <c r="N55" s="77"/>
      <c r="O55" s="93"/>
    </row>
    <row r="56" spans="1:15" ht="16.5" customHeight="1">
      <c r="A56" s="117">
        <v>46148</v>
      </c>
      <c r="B56" s="79" t="s">
        <v>48</v>
      </c>
      <c r="C56" s="79" t="s">
        <v>59</v>
      </c>
      <c r="D56" s="85"/>
      <c r="E56" s="85">
        <v>26000</v>
      </c>
      <c r="F56" s="85"/>
      <c r="G56" s="82">
        <f>G55+Table_1[[#This Row],[수입]]-Table_1[[#This Row],[지출]]</f>
        <v>24253751</v>
      </c>
      <c r="H56" s="86" t="s">
        <v>107</v>
      </c>
      <c r="I56" s="87" t="s">
        <v>108</v>
      </c>
      <c r="J56" s="79" t="s">
        <v>37</v>
      </c>
      <c r="K56" s="79" t="s">
        <v>24</v>
      </c>
      <c r="L56" s="87"/>
      <c r="M56" s="88"/>
      <c r="N56" s="77"/>
      <c r="O56" s="93"/>
    </row>
    <row r="57" spans="1:15" ht="16.5" customHeight="1">
      <c r="A57" s="117">
        <v>46149</v>
      </c>
      <c r="B57" s="79" t="s">
        <v>48</v>
      </c>
      <c r="C57" s="79" t="s">
        <v>59</v>
      </c>
      <c r="D57" s="85"/>
      <c r="E57" s="85">
        <v>55000</v>
      </c>
      <c r="F57" s="85"/>
      <c r="G57" s="82">
        <f>G56+Table_1[[#This Row],[수입]]-Table_1[[#This Row],[지출]]</f>
        <v>24198751</v>
      </c>
      <c r="H57" s="86" t="s">
        <v>109</v>
      </c>
      <c r="I57" s="87" t="s">
        <v>110</v>
      </c>
      <c r="J57" s="79" t="s">
        <v>41</v>
      </c>
      <c r="K57" s="79" t="s">
        <v>42</v>
      </c>
      <c r="L57" s="87"/>
      <c r="M57" s="88"/>
      <c r="N57" s="77"/>
      <c r="O57" s="93"/>
    </row>
    <row r="58" spans="1:15" ht="16.5" customHeight="1">
      <c r="A58" s="117">
        <v>46149</v>
      </c>
      <c r="B58" s="79" t="s">
        <v>48</v>
      </c>
      <c r="C58" s="79" t="s">
        <v>59</v>
      </c>
      <c r="D58" s="85"/>
      <c r="E58" s="85">
        <v>29700</v>
      </c>
      <c r="F58" s="85"/>
      <c r="G58" s="82">
        <f>G57+Table_1[[#This Row],[수입]]-Table_1[[#This Row],[지출]]</f>
        <v>24169051</v>
      </c>
      <c r="H58" s="86" t="s">
        <v>111</v>
      </c>
      <c r="I58" s="87" t="s">
        <v>110</v>
      </c>
      <c r="J58" s="79" t="s">
        <v>41</v>
      </c>
      <c r="K58" s="79" t="s">
        <v>42</v>
      </c>
      <c r="L58" s="87"/>
      <c r="M58" s="88"/>
      <c r="N58" s="77"/>
      <c r="O58" s="93"/>
    </row>
    <row r="59" spans="1:15" ht="16.5" customHeight="1">
      <c r="A59" s="117">
        <v>46149</v>
      </c>
      <c r="B59" s="79" t="s">
        <v>48</v>
      </c>
      <c r="C59" s="79" t="s">
        <v>59</v>
      </c>
      <c r="D59" s="85"/>
      <c r="E59" s="85">
        <v>66300</v>
      </c>
      <c r="F59" s="85"/>
      <c r="G59" s="82">
        <f>G58+Table_1[[#This Row],[수입]]-Table_1[[#This Row],[지출]]</f>
        <v>24102751</v>
      </c>
      <c r="H59" s="86" t="s">
        <v>112</v>
      </c>
      <c r="I59" s="87" t="s">
        <v>110</v>
      </c>
      <c r="J59" s="79" t="s">
        <v>37</v>
      </c>
      <c r="K59" s="79" t="s">
        <v>32</v>
      </c>
      <c r="L59" s="87"/>
      <c r="M59" s="88"/>
      <c r="N59" s="77"/>
      <c r="O59" s="93"/>
    </row>
    <row r="60" spans="1:15" s="130" customFormat="1" ht="16.5" customHeight="1">
      <c r="A60" s="122">
        <v>46151</v>
      </c>
      <c r="B60" s="123" t="s">
        <v>55</v>
      </c>
      <c r="C60" s="123" t="s">
        <v>56</v>
      </c>
      <c r="D60" s="124"/>
      <c r="E60" s="124">
        <v>30000</v>
      </c>
      <c r="F60" s="124"/>
      <c r="G60" s="82">
        <f>G59+Table_1[[#This Row],[수입]]-Table_1[[#This Row],[지출]]</f>
        <v>24072751</v>
      </c>
      <c r="H60" s="125" t="s">
        <v>113</v>
      </c>
      <c r="I60" s="126" t="s">
        <v>114</v>
      </c>
      <c r="J60" s="123" t="s">
        <v>41</v>
      </c>
      <c r="K60" s="123" t="s">
        <v>42</v>
      </c>
      <c r="L60" s="126"/>
      <c r="M60" s="127"/>
      <c r="N60" s="128"/>
      <c r="O60" s="129"/>
    </row>
    <row r="61" spans="1:15" ht="16.5" customHeight="1">
      <c r="A61" s="117">
        <v>46153</v>
      </c>
      <c r="B61" s="79" t="s">
        <v>48</v>
      </c>
      <c r="C61" s="79" t="s">
        <v>59</v>
      </c>
      <c r="D61" s="85"/>
      <c r="E61" s="85">
        <v>36000</v>
      </c>
      <c r="F61" s="85"/>
      <c r="G61" s="82">
        <f>G60+Table_1[[#This Row],[수입]]-Table_1[[#This Row],[지출]]</f>
        <v>24036751</v>
      </c>
      <c r="H61" s="86" t="s">
        <v>115</v>
      </c>
      <c r="I61" s="87" t="s">
        <v>116</v>
      </c>
      <c r="J61" s="79" t="s">
        <v>41</v>
      </c>
      <c r="K61" s="79" t="s">
        <v>42</v>
      </c>
      <c r="L61" s="87"/>
      <c r="M61" s="88"/>
      <c r="N61" s="77"/>
      <c r="O61" s="93"/>
    </row>
    <row r="62" spans="1:15" ht="16.5" customHeight="1">
      <c r="A62" s="117">
        <v>46155</v>
      </c>
      <c r="B62" s="79" t="s">
        <v>48</v>
      </c>
      <c r="C62" s="79" t="s">
        <v>59</v>
      </c>
      <c r="D62" s="85"/>
      <c r="E62" s="85">
        <v>10500</v>
      </c>
      <c r="F62" s="85"/>
      <c r="G62" s="82">
        <f>G61+Table_1[[#This Row],[수입]]-Table_1[[#This Row],[지출]]</f>
        <v>24026251</v>
      </c>
      <c r="H62" s="86" t="s">
        <v>74</v>
      </c>
      <c r="I62" s="87" t="s">
        <v>117</v>
      </c>
      <c r="J62" s="79" t="s">
        <v>37</v>
      </c>
      <c r="K62" s="79" t="s">
        <v>24</v>
      </c>
      <c r="L62" s="87"/>
      <c r="M62" s="88"/>
      <c r="N62" s="77"/>
      <c r="O62" s="93"/>
    </row>
    <row r="63" spans="1:15" ht="16.5" customHeight="1">
      <c r="A63" s="117">
        <v>46155</v>
      </c>
      <c r="B63" s="79" t="s">
        <v>48</v>
      </c>
      <c r="C63" s="79" t="s">
        <v>59</v>
      </c>
      <c r="D63" s="85"/>
      <c r="E63" s="85">
        <v>13700</v>
      </c>
      <c r="F63" s="85"/>
      <c r="G63" s="82">
        <f>G62+Table_1[[#This Row],[수입]]-Table_1[[#This Row],[지출]]</f>
        <v>24012551</v>
      </c>
      <c r="H63" s="86" t="s">
        <v>118</v>
      </c>
      <c r="I63" s="87" t="s">
        <v>117</v>
      </c>
      <c r="J63" s="79" t="s">
        <v>23</v>
      </c>
      <c r="K63" s="79" t="s">
        <v>24</v>
      </c>
      <c r="L63" s="87"/>
      <c r="M63" s="88"/>
      <c r="N63" s="77"/>
      <c r="O63" s="93"/>
    </row>
    <row r="64" spans="1:15" ht="16.5" customHeight="1">
      <c r="A64" s="117">
        <v>46156</v>
      </c>
      <c r="B64" s="79" t="s">
        <v>48</v>
      </c>
      <c r="C64" s="79" t="s">
        <v>59</v>
      </c>
      <c r="D64" s="85"/>
      <c r="E64" s="85">
        <v>12800</v>
      </c>
      <c r="F64" s="85"/>
      <c r="G64" s="82">
        <f>G63+Table_1[[#This Row],[수입]]-Table_1[[#This Row],[지출]]</f>
        <v>23999751</v>
      </c>
      <c r="H64" s="86" t="s">
        <v>119</v>
      </c>
      <c r="I64" s="87" t="s">
        <v>120</v>
      </c>
      <c r="J64" s="79" t="s">
        <v>41</v>
      </c>
      <c r="K64" s="79" t="s">
        <v>42</v>
      </c>
      <c r="L64" s="87"/>
      <c r="M64" s="88"/>
      <c r="N64" s="77"/>
      <c r="O64" s="93"/>
    </row>
    <row r="65" spans="1:16" ht="16.5" customHeight="1">
      <c r="A65" s="117">
        <v>46157</v>
      </c>
      <c r="B65" s="79" t="s">
        <v>48</v>
      </c>
      <c r="C65" s="79" t="s">
        <v>59</v>
      </c>
      <c r="D65" s="85"/>
      <c r="E65" s="85">
        <v>16300</v>
      </c>
      <c r="F65" s="85"/>
      <c r="G65" s="82">
        <f>G64+Table_1[[#This Row],[수입]]-Table_1[[#This Row],[지출]]</f>
        <v>23983451</v>
      </c>
      <c r="H65" s="86" t="s">
        <v>121</v>
      </c>
      <c r="I65" s="87" t="s">
        <v>122</v>
      </c>
      <c r="J65" s="79" t="s">
        <v>37</v>
      </c>
      <c r="K65" s="79" t="s">
        <v>24</v>
      </c>
      <c r="L65" s="87"/>
      <c r="M65" s="88"/>
      <c r="N65" s="77"/>
      <c r="O65" s="93"/>
    </row>
    <row r="66" spans="1:16" ht="16.5" customHeight="1">
      <c r="A66" s="117">
        <v>46160</v>
      </c>
      <c r="B66" s="79" t="s">
        <v>48</v>
      </c>
      <c r="C66" s="79" t="s">
        <v>59</v>
      </c>
      <c r="D66" s="85"/>
      <c r="E66" s="85">
        <v>100000</v>
      </c>
      <c r="F66" s="85"/>
      <c r="G66" s="82">
        <f>G65+Table_1[[#This Row],[수입]]-Table_1[[#This Row],[지출]]</f>
        <v>23883451</v>
      </c>
      <c r="H66" s="86" t="s">
        <v>123</v>
      </c>
      <c r="I66" s="87" t="s">
        <v>124</v>
      </c>
      <c r="J66" s="79" t="s">
        <v>41</v>
      </c>
      <c r="K66" s="79" t="s">
        <v>42</v>
      </c>
      <c r="L66" s="87"/>
      <c r="M66" s="88"/>
      <c r="N66" s="77"/>
      <c r="O66" s="93"/>
    </row>
    <row r="67" spans="1:16" ht="16.5" customHeight="1">
      <c r="A67" s="117">
        <v>46161</v>
      </c>
      <c r="B67" s="79" t="s">
        <v>48</v>
      </c>
      <c r="C67" s="79" t="s">
        <v>59</v>
      </c>
      <c r="D67" s="85"/>
      <c r="E67" s="85">
        <v>16100</v>
      </c>
      <c r="F67" s="85"/>
      <c r="G67" s="82">
        <f>G66+Table_1[[#This Row],[수입]]-Table_1[[#This Row],[지출]]</f>
        <v>23867351</v>
      </c>
      <c r="H67" s="86" t="s">
        <v>125</v>
      </c>
      <c r="I67" s="87" t="s">
        <v>126</v>
      </c>
      <c r="J67" s="79" t="s">
        <v>41</v>
      </c>
      <c r="K67" s="79" t="s">
        <v>42</v>
      </c>
      <c r="L67" s="87"/>
      <c r="M67" s="88"/>
      <c r="N67" s="77"/>
      <c r="O67" s="93"/>
    </row>
    <row r="68" spans="1:16" ht="16.5" customHeight="1">
      <c r="A68" s="117">
        <v>46164</v>
      </c>
      <c r="B68" s="79" t="s">
        <v>48</v>
      </c>
      <c r="C68" s="79" t="s">
        <v>59</v>
      </c>
      <c r="D68" s="85"/>
      <c r="E68" s="85">
        <v>22000</v>
      </c>
      <c r="F68" s="85"/>
      <c r="G68" s="82">
        <f>G67+Table_1[[#This Row],[수입]]-Table_1[[#This Row],[지출]]</f>
        <v>23845351</v>
      </c>
      <c r="H68" s="86" t="s">
        <v>127</v>
      </c>
      <c r="I68" s="87" t="s">
        <v>128</v>
      </c>
      <c r="J68" s="79" t="s">
        <v>41</v>
      </c>
      <c r="K68" s="79" t="s">
        <v>42</v>
      </c>
      <c r="L68" s="87"/>
      <c r="M68" s="88"/>
      <c r="N68" s="77"/>
      <c r="O68" s="93"/>
      <c r="P68" s="94" t="s">
        <v>129</v>
      </c>
    </row>
    <row r="69" spans="1:16" ht="16.5" customHeight="1">
      <c r="A69" s="117">
        <v>46167</v>
      </c>
      <c r="B69" s="79" t="s">
        <v>4</v>
      </c>
      <c r="C69" s="79" t="s">
        <v>17</v>
      </c>
      <c r="D69" s="85">
        <v>1860000</v>
      </c>
      <c r="E69" s="85"/>
      <c r="F69" s="85"/>
      <c r="G69" s="82">
        <f>G68+Table_1[[#This Row],[수입]]-Table_1[[#This Row],[지출]]</f>
        <v>25705351</v>
      </c>
      <c r="H69" s="86"/>
      <c r="I69" s="87"/>
      <c r="J69" s="79"/>
      <c r="K69" s="79"/>
      <c r="L69" s="87"/>
      <c r="M69" s="88"/>
      <c r="N69" s="77"/>
      <c r="O69" s="93"/>
    </row>
    <row r="70" spans="1:16" ht="16.5" customHeight="1">
      <c r="A70" s="117">
        <v>46168</v>
      </c>
      <c r="B70" s="79" t="s">
        <v>48</v>
      </c>
      <c r="C70" s="79" t="s">
        <v>59</v>
      </c>
      <c r="D70" s="85"/>
      <c r="E70" s="85">
        <v>62100</v>
      </c>
      <c r="F70" s="85"/>
      <c r="G70" s="82">
        <f>G69+Table_1[[#This Row],[수입]]-Table_1[[#This Row],[지출]]</f>
        <v>25643251</v>
      </c>
      <c r="H70" s="86" t="s">
        <v>130</v>
      </c>
      <c r="I70" s="87" t="s">
        <v>131</v>
      </c>
      <c r="J70" s="79" t="s">
        <v>41</v>
      </c>
      <c r="K70" s="79" t="s">
        <v>42</v>
      </c>
      <c r="L70" s="87"/>
      <c r="M70" s="88"/>
      <c r="N70" s="77"/>
      <c r="O70" s="93"/>
    </row>
    <row r="71" spans="1:16" ht="16.5" customHeight="1">
      <c r="A71" s="117">
        <v>46170</v>
      </c>
      <c r="B71" s="79" t="s">
        <v>48</v>
      </c>
      <c r="C71" s="79" t="s">
        <v>59</v>
      </c>
      <c r="D71" s="85"/>
      <c r="E71" s="85">
        <v>18500</v>
      </c>
      <c r="F71" s="85"/>
      <c r="G71" s="82">
        <f>G70+Table_1[[#This Row],[수입]]-Table_1[[#This Row],[지출]]</f>
        <v>25624751</v>
      </c>
      <c r="H71" s="86" t="s">
        <v>132</v>
      </c>
      <c r="I71" s="87" t="s">
        <v>133</v>
      </c>
      <c r="J71" s="79" t="s">
        <v>41</v>
      </c>
      <c r="K71" s="79" t="s">
        <v>42</v>
      </c>
      <c r="L71" s="87"/>
      <c r="M71" s="88"/>
      <c r="N71" s="77"/>
      <c r="O71" s="93"/>
    </row>
    <row r="72" spans="1:16" ht="16.5" customHeight="1">
      <c r="A72" s="117">
        <v>46175</v>
      </c>
      <c r="B72" s="79" t="s">
        <v>48</v>
      </c>
      <c r="C72" s="79" t="s">
        <v>59</v>
      </c>
      <c r="D72" s="85"/>
      <c r="E72" s="85">
        <v>17400</v>
      </c>
      <c r="F72" s="85"/>
      <c r="G72" s="82">
        <f>G71+Table_1[[#This Row],[수입]]-Table_1[[#This Row],[지출]]</f>
        <v>25607351</v>
      </c>
      <c r="H72" s="86" t="s">
        <v>134</v>
      </c>
      <c r="I72" s="87" t="s">
        <v>135</v>
      </c>
      <c r="J72" s="79" t="s">
        <v>41</v>
      </c>
      <c r="K72" s="79" t="s">
        <v>42</v>
      </c>
      <c r="L72" s="87"/>
      <c r="M72" s="88"/>
      <c r="N72" s="77"/>
      <c r="O72" s="93"/>
    </row>
    <row r="73" spans="1:16" ht="16.5" customHeight="1">
      <c r="A73" s="117">
        <v>46175</v>
      </c>
      <c r="B73" s="79" t="s">
        <v>48</v>
      </c>
      <c r="C73" s="79" t="s">
        <v>59</v>
      </c>
      <c r="D73" s="85"/>
      <c r="E73" s="85">
        <v>7200</v>
      </c>
      <c r="F73" s="85"/>
      <c r="G73" s="82">
        <f>G72+Table_1[[#This Row],[수입]]-Table_1[[#This Row],[지출]]</f>
        <v>25600151</v>
      </c>
      <c r="H73" s="86" t="s">
        <v>136</v>
      </c>
      <c r="I73" s="87" t="s">
        <v>135</v>
      </c>
      <c r="J73" s="79" t="s">
        <v>23</v>
      </c>
      <c r="K73" s="79" t="s">
        <v>24</v>
      </c>
      <c r="L73" s="87"/>
      <c r="M73" s="88"/>
      <c r="N73" s="77"/>
      <c r="O73" s="93"/>
    </row>
    <row r="74" spans="1:16" ht="16.5" customHeight="1">
      <c r="A74" s="117">
        <v>46175</v>
      </c>
      <c r="B74" s="79" t="s">
        <v>48</v>
      </c>
      <c r="C74" s="79" t="s">
        <v>59</v>
      </c>
      <c r="D74" s="85"/>
      <c r="E74" s="85">
        <v>248000</v>
      </c>
      <c r="F74" s="85"/>
      <c r="G74" s="82">
        <f>G73+Table_1[[#This Row],[수입]]-Table_1[[#This Row],[지출]]</f>
        <v>25352151</v>
      </c>
      <c r="H74" s="86" t="s">
        <v>137</v>
      </c>
      <c r="I74" s="87" t="s">
        <v>135</v>
      </c>
      <c r="J74" s="79" t="s">
        <v>37</v>
      </c>
      <c r="K74" s="79" t="s">
        <v>24</v>
      </c>
      <c r="L74" s="87"/>
      <c r="M74" s="88"/>
      <c r="N74" s="77"/>
      <c r="O74" s="93"/>
    </row>
    <row r="75" spans="1:16" ht="16.5" customHeight="1">
      <c r="A75" s="117">
        <v>46176</v>
      </c>
      <c r="B75" s="79" t="s">
        <v>48</v>
      </c>
      <c r="C75" s="79" t="s">
        <v>49</v>
      </c>
      <c r="D75" s="85"/>
      <c r="E75" s="85">
        <v>300000</v>
      </c>
      <c r="F75" s="85"/>
      <c r="G75" s="82">
        <f>G74+Table_1[[#This Row],[수입]]-Table_1[[#This Row],[지출]]</f>
        <v>25052151</v>
      </c>
      <c r="H75" s="86" t="s">
        <v>138</v>
      </c>
      <c r="I75" s="87" t="s">
        <v>139</v>
      </c>
      <c r="J75" s="79" t="s">
        <v>26</v>
      </c>
      <c r="K75" s="79" t="s">
        <v>24</v>
      </c>
      <c r="L75" s="87"/>
      <c r="M75" s="88"/>
      <c r="N75" s="77"/>
      <c r="O75" s="93"/>
    </row>
    <row r="76" spans="1:16" ht="16.5" customHeight="1">
      <c r="A76" s="117">
        <v>46176</v>
      </c>
      <c r="B76" s="79" t="s">
        <v>48</v>
      </c>
      <c r="C76" s="79" t="s">
        <v>49</v>
      </c>
      <c r="D76" s="85"/>
      <c r="E76" s="85">
        <v>100000</v>
      </c>
      <c r="F76" s="85"/>
      <c r="G76" s="82">
        <f>G75+Table_1[[#This Row],[수입]]-Table_1[[#This Row],[지출]]</f>
        <v>24952151</v>
      </c>
      <c r="H76" s="86" t="s">
        <v>140</v>
      </c>
      <c r="I76" s="87" t="s">
        <v>139</v>
      </c>
      <c r="J76" s="79" t="s">
        <v>41</v>
      </c>
      <c r="K76" s="79" t="s">
        <v>32</v>
      </c>
      <c r="L76" s="87" t="s">
        <v>52</v>
      </c>
      <c r="M76" s="88" t="s">
        <v>53</v>
      </c>
      <c r="N76" s="77"/>
      <c r="O76" s="93"/>
    </row>
    <row r="77" spans="1:16" ht="16.5" customHeight="1">
      <c r="A77" s="117">
        <v>46181</v>
      </c>
      <c r="B77" s="79" t="s">
        <v>48</v>
      </c>
      <c r="C77" s="79" t="s">
        <v>59</v>
      </c>
      <c r="D77" s="85"/>
      <c r="E77" s="85">
        <v>17100</v>
      </c>
      <c r="F77" s="85"/>
      <c r="G77" s="82">
        <f>G76+Table_1[[#This Row],[수입]]-Table_1[[#This Row],[지출]]</f>
        <v>24935051</v>
      </c>
      <c r="H77" s="86" t="s">
        <v>141</v>
      </c>
      <c r="I77" s="87" t="s">
        <v>142</v>
      </c>
      <c r="J77" s="79" t="s">
        <v>41</v>
      </c>
      <c r="K77" s="79" t="s">
        <v>42</v>
      </c>
      <c r="L77" s="87"/>
      <c r="M77" s="88"/>
      <c r="N77" s="77"/>
      <c r="O77" s="93"/>
    </row>
    <row r="78" spans="1:16" ht="16.5" customHeight="1">
      <c r="A78" s="117">
        <v>46183</v>
      </c>
      <c r="B78" s="79" t="s">
        <v>48</v>
      </c>
      <c r="C78" s="79" t="s">
        <v>59</v>
      </c>
      <c r="D78" s="85"/>
      <c r="E78" s="85">
        <v>94000</v>
      </c>
      <c r="F78" s="85"/>
      <c r="G78" s="82">
        <f>G77+Table_1[[#This Row],[수입]]-Table_1[[#This Row],[지출]]</f>
        <v>24841051</v>
      </c>
      <c r="H78" s="86" t="s">
        <v>143</v>
      </c>
      <c r="I78" s="87" t="s">
        <v>144</v>
      </c>
      <c r="J78" s="79" t="s">
        <v>41</v>
      </c>
      <c r="K78" s="79" t="s">
        <v>42</v>
      </c>
      <c r="L78" s="87"/>
      <c r="M78" s="88"/>
      <c r="N78" s="77"/>
      <c r="O78" s="93"/>
    </row>
    <row r="79" spans="1:16" ht="16.5" customHeight="1">
      <c r="A79" s="117">
        <v>46185</v>
      </c>
      <c r="B79" s="79" t="s">
        <v>48</v>
      </c>
      <c r="C79" s="79" t="s">
        <v>59</v>
      </c>
      <c r="D79" s="85"/>
      <c r="E79" s="85">
        <v>13800</v>
      </c>
      <c r="F79" s="85"/>
      <c r="G79" s="82">
        <f>G78+Table_1[[#This Row],[수입]]-Table_1[[#This Row],[지출]]</f>
        <v>24827251</v>
      </c>
      <c r="H79" s="86" t="s">
        <v>145</v>
      </c>
      <c r="I79" s="87" t="s">
        <v>146</v>
      </c>
      <c r="J79" s="79" t="s">
        <v>41</v>
      </c>
      <c r="K79" s="79" t="s">
        <v>42</v>
      </c>
      <c r="L79" s="87"/>
      <c r="M79" s="88"/>
      <c r="N79" s="77"/>
      <c r="O79" s="93"/>
    </row>
    <row r="80" spans="1:16" ht="16.5" customHeight="1">
      <c r="A80" s="117">
        <v>46188</v>
      </c>
      <c r="B80" s="79" t="s">
        <v>48</v>
      </c>
      <c r="C80" s="79" t="s">
        <v>59</v>
      </c>
      <c r="D80" s="85"/>
      <c r="E80" s="85">
        <v>16800</v>
      </c>
      <c r="F80" s="85"/>
      <c r="G80" s="82">
        <f>G79+Table_1[[#This Row],[수입]]-Table_1[[#This Row],[지출]]</f>
        <v>24810451</v>
      </c>
      <c r="H80" s="86" t="s">
        <v>147</v>
      </c>
      <c r="I80" s="87" t="s">
        <v>148</v>
      </c>
      <c r="J80" s="79" t="s">
        <v>41</v>
      </c>
      <c r="K80" s="79" t="s">
        <v>42</v>
      </c>
      <c r="L80" s="87"/>
      <c r="M80" s="88"/>
      <c r="N80" s="77"/>
      <c r="O80" s="93"/>
    </row>
    <row r="81" spans="1:16" ht="16.5" customHeight="1">
      <c r="A81" s="117">
        <v>46190</v>
      </c>
      <c r="B81" s="79" t="s">
        <v>48</v>
      </c>
      <c r="C81" s="79" t="s">
        <v>59</v>
      </c>
      <c r="D81" s="85"/>
      <c r="E81" s="85">
        <v>14700</v>
      </c>
      <c r="F81" s="85"/>
      <c r="G81" s="82">
        <f>G80+Table_1[[#This Row],[수입]]-Table_1[[#This Row],[지출]]</f>
        <v>24795751</v>
      </c>
      <c r="H81" s="86" t="s">
        <v>149</v>
      </c>
      <c r="I81" s="87" t="s">
        <v>150</v>
      </c>
      <c r="J81" s="79" t="s">
        <v>23</v>
      </c>
      <c r="K81" s="79" t="s">
        <v>24</v>
      </c>
      <c r="L81" s="87"/>
      <c r="M81" s="88"/>
      <c r="N81" s="77"/>
      <c r="O81" s="93"/>
    </row>
    <row r="82" spans="1:16" ht="16.5" customHeight="1">
      <c r="A82" s="117">
        <v>46190</v>
      </c>
      <c r="B82" s="79" t="s">
        <v>48</v>
      </c>
      <c r="C82" s="79" t="s">
        <v>59</v>
      </c>
      <c r="D82" s="85"/>
      <c r="E82" s="85">
        <v>28000</v>
      </c>
      <c r="F82" s="85"/>
      <c r="G82" s="82">
        <f>G81+Table_1[[#This Row],[수입]]-Table_1[[#This Row],[지출]]</f>
        <v>24767751</v>
      </c>
      <c r="H82" s="86" t="s">
        <v>151</v>
      </c>
      <c r="I82" s="87" t="s">
        <v>150</v>
      </c>
      <c r="J82" s="79" t="s">
        <v>37</v>
      </c>
      <c r="K82" s="79" t="s">
        <v>24</v>
      </c>
      <c r="L82" s="87"/>
      <c r="M82" s="88"/>
      <c r="N82" s="77"/>
      <c r="O82" s="93"/>
    </row>
    <row r="83" spans="1:16" ht="16.5" customHeight="1">
      <c r="A83" s="117">
        <v>46191</v>
      </c>
      <c r="B83" s="79" t="s">
        <v>48</v>
      </c>
      <c r="C83" s="79" t="s">
        <v>59</v>
      </c>
      <c r="D83" s="85"/>
      <c r="E83" s="85">
        <v>90000</v>
      </c>
      <c r="F83" s="85"/>
      <c r="G83" s="82">
        <f>G82+Table_1[[#This Row],[수입]]-Table_1[[#This Row],[지출]]</f>
        <v>24677751</v>
      </c>
      <c r="H83" s="86" t="s">
        <v>152</v>
      </c>
      <c r="I83" s="87" t="s">
        <v>153</v>
      </c>
      <c r="J83" s="79" t="s">
        <v>41</v>
      </c>
      <c r="K83" s="79" t="s">
        <v>42</v>
      </c>
      <c r="L83" s="87"/>
      <c r="M83" s="88"/>
      <c r="N83" s="77"/>
      <c r="O83" s="93"/>
    </row>
    <row r="84" spans="1:16" ht="16.5" customHeight="1">
      <c r="A84" s="117">
        <v>46192</v>
      </c>
      <c r="B84" s="79" t="s">
        <v>48</v>
      </c>
      <c r="C84" s="79" t="s">
        <v>59</v>
      </c>
      <c r="D84" s="85"/>
      <c r="E84" s="85">
        <v>25100</v>
      </c>
      <c r="F84" s="85"/>
      <c r="G84" s="82">
        <f>G83+Table_1[[#This Row],[수입]]-Table_1[[#This Row],[지출]]</f>
        <v>24652651</v>
      </c>
      <c r="H84" s="86" t="s">
        <v>154</v>
      </c>
      <c r="I84" s="87" t="s">
        <v>155</v>
      </c>
      <c r="J84" s="79" t="s">
        <v>41</v>
      </c>
      <c r="K84" s="79" t="s">
        <v>42</v>
      </c>
      <c r="L84" s="87"/>
      <c r="M84" s="88"/>
      <c r="N84" s="77"/>
      <c r="O84" s="93"/>
    </row>
    <row r="85" spans="1:16" ht="16.5" customHeight="1">
      <c r="A85" s="117">
        <v>46196</v>
      </c>
      <c r="B85" s="79" t="s">
        <v>48</v>
      </c>
      <c r="C85" s="79" t="s">
        <v>59</v>
      </c>
      <c r="D85" s="85"/>
      <c r="E85" s="85">
        <v>22000</v>
      </c>
      <c r="F85" s="85"/>
      <c r="G85" s="82">
        <f>G84+Table_1[[#This Row],[수입]]-Table_1[[#This Row],[지출]]</f>
        <v>24630651</v>
      </c>
      <c r="H85" s="86" t="s">
        <v>156</v>
      </c>
      <c r="I85" s="87" t="s">
        <v>157</v>
      </c>
      <c r="J85" s="79" t="s">
        <v>37</v>
      </c>
      <c r="K85" s="79" t="s">
        <v>24</v>
      </c>
      <c r="L85" s="87"/>
      <c r="M85" s="88"/>
      <c r="N85" s="77"/>
      <c r="O85" s="93"/>
    </row>
    <row r="86" spans="1:16" ht="16.5" customHeight="1">
      <c r="A86" s="117">
        <v>46196</v>
      </c>
      <c r="B86" s="79" t="s">
        <v>48</v>
      </c>
      <c r="C86" s="79" t="s">
        <v>59</v>
      </c>
      <c r="D86" s="85"/>
      <c r="E86" s="85">
        <v>25700</v>
      </c>
      <c r="F86" s="85"/>
      <c r="G86" s="82">
        <f>G85+Table_1[[#This Row],[수입]]-Table_1[[#This Row],[지출]]</f>
        <v>24604951</v>
      </c>
      <c r="H86" s="86" t="s">
        <v>158</v>
      </c>
      <c r="I86" s="87" t="s">
        <v>157</v>
      </c>
      <c r="J86" s="79" t="s">
        <v>23</v>
      </c>
      <c r="K86" s="79" t="s">
        <v>24</v>
      </c>
      <c r="L86" s="87"/>
      <c r="M86" s="88"/>
      <c r="N86" s="77"/>
      <c r="O86" s="93"/>
    </row>
    <row r="87" spans="1:16" ht="16.5" customHeight="1">
      <c r="A87" s="117">
        <v>46198</v>
      </c>
      <c r="B87" s="79" t="s">
        <v>4</v>
      </c>
      <c r="C87" s="79" t="s">
        <v>17</v>
      </c>
      <c r="D87" s="85">
        <v>1860000</v>
      </c>
      <c r="E87" s="85"/>
      <c r="F87" s="85"/>
      <c r="G87" s="82">
        <f>G86+Table_1[[#This Row],[수입]]-Table_1[[#This Row],[지출]]</f>
        <v>26464951</v>
      </c>
      <c r="H87" s="86"/>
      <c r="I87" s="87"/>
      <c r="J87" s="79"/>
      <c r="K87" s="79"/>
      <c r="L87" s="87"/>
      <c r="M87" s="88"/>
      <c r="N87" s="77"/>
      <c r="O87" s="93"/>
    </row>
    <row r="88" spans="1:16" ht="16.5" customHeight="1">
      <c r="A88" s="117">
        <v>46199</v>
      </c>
      <c r="B88" s="79" t="s">
        <v>48</v>
      </c>
      <c r="C88" s="79" t="s">
        <v>59</v>
      </c>
      <c r="D88" s="85"/>
      <c r="E88" s="85">
        <v>15100</v>
      </c>
      <c r="F88" s="85"/>
      <c r="G88" s="82">
        <f>G87+Table_1[[#This Row],[수입]]-Table_1[[#This Row],[지출]]</f>
        <v>26449851</v>
      </c>
      <c r="H88" s="86" t="s">
        <v>145</v>
      </c>
      <c r="I88" s="87" t="s">
        <v>159</v>
      </c>
      <c r="J88" s="79" t="s">
        <v>34</v>
      </c>
      <c r="K88" s="79" t="s">
        <v>24</v>
      </c>
      <c r="L88" s="87"/>
      <c r="M88" s="88"/>
      <c r="N88" s="77"/>
      <c r="O88" s="93"/>
    </row>
    <row r="89" spans="1:16" ht="16.5" customHeight="1">
      <c r="A89" s="117">
        <v>46203</v>
      </c>
      <c r="B89" s="79" t="s">
        <v>48</v>
      </c>
      <c r="C89" s="79" t="s">
        <v>59</v>
      </c>
      <c r="D89" s="85"/>
      <c r="E89" s="85">
        <v>19400</v>
      </c>
      <c r="F89" s="85"/>
      <c r="G89" s="82">
        <f>G88+Table_1[[#This Row],[수입]]-Table_1[[#This Row],[지출]]</f>
        <v>26430451</v>
      </c>
      <c r="H89" s="86" t="s">
        <v>160</v>
      </c>
      <c r="I89" s="87" t="s">
        <v>161</v>
      </c>
      <c r="J89" s="79" t="s">
        <v>23</v>
      </c>
      <c r="K89" s="79" t="s">
        <v>24</v>
      </c>
      <c r="L89" s="87"/>
      <c r="M89" s="88"/>
      <c r="N89" s="77"/>
      <c r="O89" s="93"/>
      <c r="P89" s="151"/>
    </row>
    <row r="90" spans="1:16" ht="16.5" customHeight="1">
      <c r="A90" s="117">
        <v>46203</v>
      </c>
      <c r="B90" s="79" t="s">
        <v>4</v>
      </c>
      <c r="C90" s="79" t="s">
        <v>162</v>
      </c>
      <c r="D90" s="85">
        <v>13300</v>
      </c>
      <c r="E90" s="85"/>
      <c r="F90" s="85"/>
      <c r="G90" s="82">
        <f>G89+Table_1[[#This Row],[수입]]-Table_1[[#This Row],[지출]]</f>
        <v>26443751</v>
      </c>
      <c r="H90" s="86"/>
      <c r="I90" s="87"/>
      <c r="J90" s="79"/>
      <c r="K90" s="79"/>
      <c r="L90" s="87"/>
      <c r="M90" s="88"/>
      <c r="N90" s="77"/>
      <c r="O90" s="93"/>
    </row>
    <row r="91" spans="1:16" ht="16.5" customHeight="1">
      <c r="A91" s="117">
        <v>46204</v>
      </c>
      <c r="B91" s="79" t="s">
        <v>48</v>
      </c>
      <c r="C91" s="79" t="s">
        <v>59</v>
      </c>
      <c r="D91" s="85"/>
      <c r="E91" s="85">
        <v>17000</v>
      </c>
      <c r="F91" s="85"/>
      <c r="G91" s="82">
        <f>G90+Table_1[[#This Row],[수입]]-Table_1[[#This Row],[지출]]</f>
        <v>26426751</v>
      </c>
      <c r="H91" s="86" t="s">
        <v>145</v>
      </c>
      <c r="I91" s="87" t="s">
        <v>163</v>
      </c>
      <c r="J91" s="79" t="s">
        <v>41</v>
      </c>
      <c r="K91" s="79" t="s">
        <v>42</v>
      </c>
      <c r="L91" s="87"/>
      <c r="M91" s="88"/>
      <c r="N91" s="77"/>
      <c r="O91" s="93"/>
    </row>
    <row r="92" spans="1:16" ht="16.5" customHeight="1">
      <c r="A92" s="117">
        <v>46205</v>
      </c>
      <c r="B92" s="79" t="s">
        <v>48</v>
      </c>
      <c r="C92" s="79" t="s">
        <v>59</v>
      </c>
      <c r="D92" s="85"/>
      <c r="E92" s="85">
        <v>65700</v>
      </c>
      <c r="F92" s="85"/>
      <c r="G92" s="82">
        <f>G91+Table_1[[#This Row],[수입]]-Table_1[[#This Row],[지출]]</f>
        <v>26361051</v>
      </c>
      <c r="H92" s="86" t="s">
        <v>164</v>
      </c>
      <c r="I92" s="87" t="s">
        <v>165</v>
      </c>
      <c r="J92" s="79" t="s">
        <v>41</v>
      </c>
      <c r="K92" s="79" t="s">
        <v>42</v>
      </c>
      <c r="L92" s="87"/>
      <c r="M92" s="88"/>
      <c r="N92" s="77"/>
      <c r="O92" s="93"/>
    </row>
    <row r="93" spans="1:16" ht="16.5" customHeight="1">
      <c r="A93" s="117">
        <v>46205</v>
      </c>
      <c r="B93" s="79" t="s">
        <v>48</v>
      </c>
      <c r="C93" s="79" t="s">
        <v>59</v>
      </c>
      <c r="D93" s="85"/>
      <c r="E93" s="85">
        <v>15200</v>
      </c>
      <c r="F93" s="85"/>
      <c r="G93" s="82">
        <f>G92+Table_1[[#This Row],[수입]]-Table_1[[#This Row],[지출]]</f>
        <v>26345851</v>
      </c>
      <c r="H93" s="86" t="s">
        <v>145</v>
      </c>
      <c r="I93" s="87" t="s">
        <v>165</v>
      </c>
      <c r="J93" s="79" t="s">
        <v>23</v>
      </c>
      <c r="K93" s="79" t="s">
        <v>24</v>
      </c>
      <c r="L93" s="87"/>
      <c r="M93" s="88"/>
      <c r="N93" s="77"/>
      <c r="O93" s="93"/>
    </row>
    <row r="94" spans="1:16" ht="16.5" customHeight="1">
      <c r="A94" s="117">
        <v>46206</v>
      </c>
      <c r="B94" s="79" t="s">
        <v>48</v>
      </c>
      <c r="C94" s="79" t="s">
        <v>59</v>
      </c>
      <c r="D94" s="85"/>
      <c r="E94" s="85">
        <v>7500</v>
      </c>
      <c r="F94" s="85"/>
      <c r="G94" s="82">
        <f>G93+Table_1[[#This Row],[수입]]-Table_1[[#This Row],[지출]]</f>
        <v>26338351</v>
      </c>
      <c r="H94" s="86" t="s">
        <v>166</v>
      </c>
      <c r="I94" s="87" t="s">
        <v>167</v>
      </c>
      <c r="J94" s="79" t="s">
        <v>23</v>
      </c>
      <c r="K94" s="79" t="s">
        <v>24</v>
      </c>
      <c r="L94" s="87"/>
      <c r="M94" s="88"/>
      <c r="N94" s="77"/>
      <c r="O94" s="93"/>
    </row>
    <row r="95" spans="1:16" ht="16.5" customHeight="1">
      <c r="A95" s="117">
        <v>46210</v>
      </c>
      <c r="B95" s="79" t="s">
        <v>48</v>
      </c>
      <c r="C95" s="79" t="s">
        <v>59</v>
      </c>
      <c r="D95" s="85"/>
      <c r="E95" s="85">
        <v>10800</v>
      </c>
      <c r="F95" s="85"/>
      <c r="G95" s="82">
        <f>G94+Table_1[[#This Row],[수입]]-Table_1[[#This Row],[지출]]</f>
        <v>26327551</v>
      </c>
      <c r="H95" s="86" t="s">
        <v>168</v>
      </c>
      <c r="I95" s="87" t="s">
        <v>169</v>
      </c>
      <c r="J95" s="79" t="s">
        <v>23</v>
      </c>
      <c r="K95" s="79" t="s">
        <v>24</v>
      </c>
      <c r="L95" s="87"/>
      <c r="M95" s="88"/>
      <c r="N95" s="77"/>
      <c r="O95" s="93"/>
    </row>
    <row r="96" spans="1:16" ht="16.5" customHeight="1">
      <c r="A96" s="117">
        <v>46209</v>
      </c>
      <c r="B96" s="79" t="s">
        <v>48</v>
      </c>
      <c r="C96" s="79" t="s">
        <v>59</v>
      </c>
      <c r="D96" s="85"/>
      <c r="E96" s="85">
        <v>14700</v>
      </c>
      <c r="F96" s="85"/>
      <c r="G96" s="82">
        <f>G95+Table_1[[#This Row],[수입]]-Table_1[[#This Row],[지출]]</f>
        <v>26312851</v>
      </c>
      <c r="H96" s="86" t="s">
        <v>145</v>
      </c>
      <c r="I96" s="87" t="s">
        <v>170</v>
      </c>
      <c r="J96" s="79" t="s">
        <v>41</v>
      </c>
      <c r="K96" s="79" t="s">
        <v>42</v>
      </c>
      <c r="L96" s="87"/>
      <c r="M96" s="88"/>
      <c r="N96" s="77"/>
      <c r="O96" s="93"/>
    </row>
    <row r="97" spans="1:15" ht="16.5" customHeight="1">
      <c r="A97" s="117">
        <v>46212</v>
      </c>
      <c r="B97" s="79" t="s">
        <v>48</v>
      </c>
      <c r="C97" s="79" t="s">
        <v>59</v>
      </c>
      <c r="D97" s="85"/>
      <c r="E97" s="85">
        <v>9200</v>
      </c>
      <c r="F97" s="85"/>
      <c r="G97" s="82">
        <f>G96+Table_1[[#This Row],[수입]]-Table_1[[#This Row],[지출]]</f>
        <v>26303651</v>
      </c>
      <c r="H97" s="86" t="s">
        <v>171</v>
      </c>
      <c r="I97" s="87" t="s">
        <v>172</v>
      </c>
      <c r="J97" s="79" t="s">
        <v>41</v>
      </c>
      <c r="K97" s="79" t="s">
        <v>42</v>
      </c>
      <c r="L97" s="87"/>
      <c r="M97" s="88"/>
      <c r="N97" s="77"/>
      <c r="O97" s="93"/>
    </row>
    <row r="98" spans="1:15" ht="16.5" customHeight="1">
      <c r="A98" s="117">
        <v>46213</v>
      </c>
      <c r="B98" s="79" t="s">
        <v>48</v>
      </c>
      <c r="C98" s="79" t="s">
        <v>59</v>
      </c>
      <c r="D98" s="85"/>
      <c r="E98" s="85">
        <v>12000</v>
      </c>
      <c r="F98" s="85"/>
      <c r="G98" s="82">
        <f>G97+Table_1[[#This Row],[수입]]-Table_1[[#This Row],[지출]]</f>
        <v>26291651</v>
      </c>
      <c r="H98" s="86" t="s">
        <v>173</v>
      </c>
      <c r="I98" s="87" t="s">
        <v>174</v>
      </c>
      <c r="J98" s="79" t="s">
        <v>23</v>
      </c>
      <c r="K98" s="79" t="s">
        <v>24</v>
      </c>
      <c r="L98" s="87"/>
      <c r="M98" s="88"/>
      <c r="N98" s="77"/>
      <c r="O98" s="93"/>
    </row>
    <row r="99" spans="1:15" ht="16.5" customHeight="1">
      <c r="A99" s="117">
        <v>46214</v>
      </c>
      <c r="B99" s="79" t="s">
        <v>48</v>
      </c>
      <c r="C99" s="79" t="s">
        <v>49</v>
      </c>
      <c r="D99" s="85"/>
      <c r="E99" s="85">
        <v>200000</v>
      </c>
      <c r="F99" s="85"/>
      <c r="G99" s="82">
        <f>G98+Table_1[[#This Row],[수입]]-Table_1[[#This Row],[지출]]</f>
        <v>26091651</v>
      </c>
      <c r="H99" s="86" t="s">
        <v>175</v>
      </c>
      <c r="I99" s="87" t="s">
        <v>176</v>
      </c>
      <c r="J99" s="79" t="s">
        <v>41</v>
      </c>
      <c r="K99" s="79" t="s">
        <v>42</v>
      </c>
      <c r="L99" s="87"/>
      <c r="M99" s="88"/>
      <c r="N99" s="77"/>
      <c r="O99" s="93"/>
    </row>
    <row r="100" spans="1:15" ht="16.5" customHeight="1">
      <c r="A100" s="117">
        <v>46216</v>
      </c>
      <c r="B100" s="79" t="s">
        <v>48</v>
      </c>
      <c r="C100" s="79" t="s">
        <v>59</v>
      </c>
      <c r="D100" s="85"/>
      <c r="E100" s="85">
        <v>51600</v>
      </c>
      <c r="F100" s="85"/>
      <c r="G100" s="82">
        <f>G99+Table_1[[#This Row],[수입]]-Table_1[[#This Row],[지출]]</f>
        <v>26040051</v>
      </c>
      <c r="H100" s="86" t="s">
        <v>177</v>
      </c>
      <c r="I100" s="87" t="s">
        <v>178</v>
      </c>
      <c r="J100" s="79" t="s">
        <v>34</v>
      </c>
      <c r="K100" s="79" t="s">
        <v>24</v>
      </c>
      <c r="L100" s="87"/>
      <c r="M100" s="88"/>
      <c r="N100" s="77"/>
      <c r="O100" s="93"/>
    </row>
    <row r="101" spans="1:15" ht="16.5" customHeight="1">
      <c r="A101" s="117">
        <v>46216</v>
      </c>
      <c r="B101" s="79" t="s">
        <v>48</v>
      </c>
      <c r="C101" s="79" t="s">
        <v>59</v>
      </c>
      <c r="D101" s="85"/>
      <c r="E101" s="85">
        <v>15600</v>
      </c>
      <c r="F101" s="85"/>
      <c r="G101" s="82">
        <f>G100+Table_1[[#This Row],[수입]]-Table_1[[#This Row],[지출]]</f>
        <v>26024451</v>
      </c>
      <c r="H101" s="86" t="s">
        <v>179</v>
      </c>
      <c r="I101" s="87" t="s">
        <v>178</v>
      </c>
      <c r="J101" s="79" t="s">
        <v>37</v>
      </c>
      <c r="K101" s="79" t="s">
        <v>24</v>
      </c>
      <c r="L101" s="87"/>
      <c r="M101" s="88"/>
      <c r="N101" s="77"/>
      <c r="O101" s="93"/>
    </row>
    <row r="102" spans="1:15" ht="16.5" customHeight="1">
      <c r="A102" s="117">
        <v>46217</v>
      </c>
      <c r="B102" s="79" t="s">
        <v>48</v>
      </c>
      <c r="C102" s="79" t="s">
        <v>59</v>
      </c>
      <c r="D102" s="85"/>
      <c r="E102" s="85">
        <v>59000</v>
      </c>
      <c r="F102" s="85"/>
      <c r="G102" s="82">
        <f>G101+Table_1[[#This Row],[수입]]-Table_1[[#This Row],[지출]]</f>
        <v>25965451</v>
      </c>
      <c r="H102" s="86" t="s">
        <v>180</v>
      </c>
      <c r="I102" s="87" t="s">
        <v>181</v>
      </c>
      <c r="J102" s="79" t="s">
        <v>41</v>
      </c>
      <c r="K102" s="79" t="s">
        <v>42</v>
      </c>
      <c r="L102" s="87"/>
      <c r="M102" s="88"/>
      <c r="N102" s="77"/>
      <c r="O102" s="93"/>
    </row>
    <row r="103" spans="1:15" ht="16.5" customHeight="1">
      <c r="A103" s="117">
        <v>46217</v>
      </c>
      <c r="B103" s="79" t="s">
        <v>48</v>
      </c>
      <c r="C103" s="79" t="s">
        <v>59</v>
      </c>
      <c r="D103" s="85"/>
      <c r="E103" s="85">
        <v>5800</v>
      </c>
      <c r="F103" s="85"/>
      <c r="G103" s="82">
        <f>G102+Table_1[[#This Row],[수입]]-Table_1[[#This Row],[지출]]</f>
        <v>25959651</v>
      </c>
      <c r="H103" s="86" t="s">
        <v>182</v>
      </c>
      <c r="I103" s="87" t="s">
        <v>181</v>
      </c>
      <c r="J103" s="79" t="s">
        <v>37</v>
      </c>
      <c r="K103" s="79" t="s">
        <v>24</v>
      </c>
      <c r="L103" s="87"/>
      <c r="M103" s="88"/>
      <c r="N103" s="77"/>
      <c r="O103" s="93"/>
    </row>
    <row r="104" spans="1:15" ht="16.5" customHeight="1">
      <c r="A104" s="117">
        <v>46218</v>
      </c>
      <c r="B104" s="79" t="s">
        <v>55</v>
      </c>
      <c r="C104" s="79" t="s">
        <v>56</v>
      </c>
      <c r="D104" s="85"/>
      <c r="E104" s="85">
        <v>60000</v>
      </c>
      <c r="F104" s="85"/>
      <c r="G104" s="82">
        <f>G103+Table_1[[#This Row],[수입]]-Table_1[[#This Row],[지출]]</f>
        <v>25899651</v>
      </c>
      <c r="H104" s="86" t="s">
        <v>183</v>
      </c>
      <c r="I104" s="87" t="s">
        <v>184</v>
      </c>
      <c r="J104" s="79" t="s">
        <v>41</v>
      </c>
      <c r="K104" s="79" t="s">
        <v>42</v>
      </c>
      <c r="L104" s="87"/>
      <c r="M104" s="88"/>
      <c r="N104" s="77"/>
      <c r="O104" s="93"/>
    </row>
    <row r="105" spans="1:15" ht="16.5" customHeight="1">
      <c r="A105" s="117">
        <v>46218</v>
      </c>
      <c r="B105" s="79" t="s">
        <v>55</v>
      </c>
      <c r="C105" s="79" t="s">
        <v>56</v>
      </c>
      <c r="D105" s="85"/>
      <c r="E105" s="85">
        <v>40400</v>
      </c>
      <c r="F105" s="85"/>
      <c r="G105" s="82">
        <f>G104+Table_1[[#This Row],[수입]]-Table_1[[#This Row],[지출]]</f>
        <v>25859251</v>
      </c>
      <c r="H105" s="86" t="s">
        <v>185</v>
      </c>
      <c r="I105" s="87" t="s">
        <v>184</v>
      </c>
      <c r="J105" s="79" t="s">
        <v>37</v>
      </c>
      <c r="K105" s="79" t="s">
        <v>24</v>
      </c>
      <c r="L105" s="87"/>
      <c r="M105" s="88"/>
      <c r="N105" s="77"/>
      <c r="O105" s="93"/>
    </row>
    <row r="106" spans="1:15" ht="16.5" customHeight="1">
      <c r="A106" s="117">
        <v>46218</v>
      </c>
      <c r="B106" s="79" t="s">
        <v>48</v>
      </c>
      <c r="C106" s="79" t="s">
        <v>59</v>
      </c>
      <c r="D106" s="85"/>
      <c r="E106" s="85">
        <v>12600</v>
      </c>
      <c r="F106" s="85"/>
      <c r="G106" s="82">
        <f>G105+Table_1[[#This Row],[수입]]-Table_1[[#This Row],[지출]]</f>
        <v>25846651</v>
      </c>
      <c r="H106" s="86" t="s">
        <v>186</v>
      </c>
      <c r="I106" s="87" t="s">
        <v>184</v>
      </c>
      <c r="J106" s="79" t="s">
        <v>23</v>
      </c>
      <c r="K106" s="79" t="s">
        <v>24</v>
      </c>
      <c r="L106" s="87"/>
      <c r="M106" s="88"/>
      <c r="N106" s="77"/>
      <c r="O106" s="93"/>
    </row>
    <row r="107" spans="1:15" ht="16.5" customHeight="1">
      <c r="A107" s="117">
        <v>46219</v>
      </c>
      <c r="B107" s="79" t="s">
        <v>48</v>
      </c>
      <c r="C107" s="79" t="s">
        <v>59</v>
      </c>
      <c r="D107" s="85"/>
      <c r="E107" s="85">
        <v>9400</v>
      </c>
      <c r="F107" s="85"/>
      <c r="G107" s="82">
        <f>G106+Table_1[[#This Row],[수입]]-Table_1[[#This Row],[지출]]</f>
        <v>25837251</v>
      </c>
      <c r="H107" s="86" t="s">
        <v>187</v>
      </c>
      <c r="I107" s="87" t="s">
        <v>188</v>
      </c>
      <c r="J107" s="79" t="s">
        <v>37</v>
      </c>
      <c r="K107" s="79" t="s">
        <v>24</v>
      </c>
      <c r="L107" s="87"/>
      <c r="M107" s="88"/>
      <c r="N107" s="77"/>
      <c r="O107" s="93"/>
    </row>
    <row r="108" spans="1:15" ht="16.5" customHeight="1">
      <c r="A108" s="117">
        <v>46223</v>
      </c>
      <c r="B108" s="79" t="s">
        <v>48</v>
      </c>
      <c r="C108" s="79" t="s">
        <v>59</v>
      </c>
      <c r="D108" s="85"/>
      <c r="E108" s="131">
        <v>47000</v>
      </c>
      <c r="F108" s="85"/>
      <c r="G108" s="82">
        <f>G107+Table_1[[#This Row],[수입]]-Table_1[[#This Row],[지출]]</f>
        <v>25790251</v>
      </c>
      <c r="H108" s="86" t="s">
        <v>189</v>
      </c>
      <c r="I108" s="87" t="s">
        <v>190</v>
      </c>
      <c r="J108" s="79" t="s">
        <v>41</v>
      </c>
      <c r="K108" s="79" t="s">
        <v>42</v>
      </c>
      <c r="L108" s="87"/>
      <c r="M108" s="88"/>
      <c r="N108" s="77"/>
      <c r="O108" s="93"/>
    </row>
    <row r="109" spans="1:15" ht="16.5" customHeight="1">
      <c r="A109" s="117">
        <v>46223</v>
      </c>
      <c r="B109" s="79" t="s">
        <v>48</v>
      </c>
      <c r="C109" s="79" t="s">
        <v>59</v>
      </c>
      <c r="D109" s="85"/>
      <c r="E109" s="131">
        <v>17300</v>
      </c>
      <c r="F109" s="85"/>
      <c r="G109" s="82">
        <f>G108+Table_1[[#This Row],[수입]]-Table_1[[#This Row],[지출]]</f>
        <v>25772951</v>
      </c>
      <c r="H109" s="86" t="s">
        <v>191</v>
      </c>
      <c r="I109" s="87" t="s">
        <v>190</v>
      </c>
      <c r="J109" s="79" t="s">
        <v>41</v>
      </c>
      <c r="K109" s="79" t="s">
        <v>42</v>
      </c>
      <c r="L109" s="87"/>
      <c r="M109" s="88"/>
      <c r="N109" s="77"/>
      <c r="O109" s="93"/>
    </row>
    <row r="110" spans="1:15" ht="16.5" customHeight="1">
      <c r="A110" s="117">
        <v>46223</v>
      </c>
      <c r="B110" s="79" t="s">
        <v>48</v>
      </c>
      <c r="C110" s="79" t="s">
        <v>59</v>
      </c>
      <c r="D110" s="85"/>
      <c r="E110" s="131">
        <v>70500</v>
      </c>
      <c r="F110" s="85"/>
      <c r="G110" s="82">
        <f>G109+Table_1[[#This Row],[수입]]-Table_1[[#This Row],[지출]]</f>
        <v>25702451</v>
      </c>
      <c r="H110" s="86" t="s">
        <v>192</v>
      </c>
      <c r="I110" s="87" t="s">
        <v>190</v>
      </c>
      <c r="J110" s="79" t="s">
        <v>41</v>
      </c>
      <c r="K110" s="79" t="s">
        <v>42</v>
      </c>
      <c r="L110" s="87"/>
      <c r="M110" s="88"/>
      <c r="N110" s="77"/>
      <c r="O110" s="93"/>
    </row>
    <row r="111" spans="1:15" ht="16.5" customHeight="1">
      <c r="A111" s="132">
        <v>46225</v>
      </c>
      <c r="B111" s="79" t="s">
        <v>48</v>
      </c>
      <c r="C111" s="134" t="s">
        <v>59</v>
      </c>
      <c r="D111" s="135"/>
      <c r="E111" s="136">
        <v>24700</v>
      </c>
      <c r="F111" s="85"/>
      <c r="G111" s="82">
        <f>G110+Table_1[[#This Row],[수입]]-Table_1[[#This Row],[지출]]</f>
        <v>25677751</v>
      </c>
      <c r="H111" s="146" t="s">
        <v>193</v>
      </c>
      <c r="I111" s="87" t="s">
        <v>194</v>
      </c>
      <c r="J111" s="79" t="s">
        <v>41</v>
      </c>
      <c r="K111" s="79" t="s">
        <v>42</v>
      </c>
      <c r="L111" s="87"/>
      <c r="M111" s="88"/>
      <c r="N111" s="77"/>
      <c r="O111" s="93"/>
    </row>
    <row r="112" spans="1:15" ht="16.5" customHeight="1">
      <c r="A112" s="137">
        <v>46225</v>
      </c>
      <c r="B112" s="79" t="s">
        <v>48</v>
      </c>
      <c r="C112" s="138" t="s">
        <v>59</v>
      </c>
      <c r="D112" s="139"/>
      <c r="E112" s="140">
        <v>15600</v>
      </c>
      <c r="F112" s="85"/>
      <c r="G112" s="82">
        <f>G111+Table_1[[#This Row],[수입]]-Table_1[[#This Row],[지출]]</f>
        <v>25662151</v>
      </c>
      <c r="H112" s="147" t="s">
        <v>195</v>
      </c>
      <c r="I112" s="87" t="s">
        <v>194</v>
      </c>
      <c r="J112" s="79" t="s">
        <v>41</v>
      </c>
      <c r="K112" s="79" t="s">
        <v>42</v>
      </c>
      <c r="L112" s="87"/>
      <c r="M112" s="88"/>
      <c r="N112" s="77"/>
      <c r="O112" s="93"/>
    </row>
    <row r="113" spans="1:15" ht="16.5" customHeight="1">
      <c r="A113" s="137">
        <v>46226</v>
      </c>
      <c r="B113" s="79" t="s">
        <v>48</v>
      </c>
      <c r="C113" s="138" t="s">
        <v>59</v>
      </c>
      <c r="D113" s="141"/>
      <c r="E113" s="140">
        <v>8400</v>
      </c>
      <c r="F113" s="85"/>
      <c r="G113" s="82">
        <f>G112+Table_1[[#This Row],[수입]]-Table_1[[#This Row],[지출]]</f>
        <v>25653751</v>
      </c>
      <c r="H113" s="148" t="s">
        <v>196</v>
      </c>
      <c r="I113" s="87" t="s">
        <v>197</v>
      </c>
      <c r="J113" s="79" t="s">
        <v>37</v>
      </c>
      <c r="K113" s="79" t="s">
        <v>24</v>
      </c>
      <c r="L113" s="87"/>
      <c r="M113" s="88"/>
      <c r="N113" s="77"/>
      <c r="O113" s="93"/>
    </row>
    <row r="114" spans="1:15" ht="16.5" customHeight="1">
      <c r="A114" s="137">
        <v>46226</v>
      </c>
      <c r="B114" s="79" t="s">
        <v>48</v>
      </c>
      <c r="C114" s="138" t="s">
        <v>59</v>
      </c>
      <c r="D114" s="141"/>
      <c r="E114" s="140">
        <v>8400</v>
      </c>
      <c r="F114" s="85"/>
      <c r="G114" s="82">
        <f>G113+Table_1[[#This Row],[수입]]-Table_1[[#This Row],[지출]]</f>
        <v>25645351</v>
      </c>
      <c r="H114" s="148" t="s">
        <v>196</v>
      </c>
      <c r="I114" s="87" t="s">
        <v>197</v>
      </c>
      <c r="J114" s="133" t="s">
        <v>37</v>
      </c>
      <c r="K114" s="133" t="s">
        <v>24</v>
      </c>
      <c r="L114" s="87"/>
      <c r="M114" s="88"/>
      <c r="N114" s="77"/>
      <c r="O114" s="93"/>
    </row>
    <row r="115" spans="1:15" ht="16.5" customHeight="1">
      <c r="A115" s="137">
        <v>46227</v>
      </c>
      <c r="B115" s="79" t="s">
        <v>48</v>
      </c>
      <c r="C115" s="138" t="s">
        <v>59</v>
      </c>
      <c r="D115" s="141"/>
      <c r="E115" s="140">
        <v>9400</v>
      </c>
      <c r="F115" s="85"/>
      <c r="G115" s="82">
        <f>G114+Table_1[[#This Row],[수입]]-Table_1[[#This Row],[지출]]</f>
        <v>25635951</v>
      </c>
      <c r="H115" s="148" t="s">
        <v>198</v>
      </c>
      <c r="I115" s="150" t="s">
        <v>194</v>
      </c>
      <c r="J115" s="138" t="s">
        <v>41</v>
      </c>
      <c r="K115" s="138" t="s">
        <v>42</v>
      </c>
      <c r="L115" s="87"/>
      <c r="M115" s="88"/>
      <c r="N115" s="77"/>
      <c r="O115" s="93"/>
    </row>
    <row r="116" spans="1:15" ht="16.5" customHeight="1">
      <c r="A116" s="137">
        <v>46230</v>
      </c>
      <c r="B116" s="79" t="s">
        <v>4</v>
      </c>
      <c r="C116" s="138" t="s">
        <v>17</v>
      </c>
      <c r="D116" s="141">
        <v>1865000</v>
      </c>
      <c r="E116" s="140"/>
      <c r="F116" s="85"/>
      <c r="G116" s="82">
        <f>G115+Table_1[[#This Row],[수입]]-Table_1[[#This Row],[지출]]</f>
        <v>27500951</v>
      </c>
      <c r="H116" s="148" t="s">
        <v>199</v>
      </c>
      <c r="I116" s="150"/>
      <c r="J116" s="138"/>
      <c r="K116" s="138"/>
      <c r="L116" s="87"/>
      <c r="M116" s="88"/>
      <c r="N116" s="77"/>
      <c r="O116" s="93"/>
    </row>
    <row r="117" spans="1:15" ht="16.5" customHeight="1">
      <c r="A117" s="137">
        <v>46231</v>
      </c>
      <c r="B117" s="79" t="s">
        <v>48</v>
      </c>
      <c r="C117" s="138" t="s">
        <v>59</v>
      </c>
      <c r="D117" s="141"/>
      <c r="E117" s="140">
        <v>23200</v>
      </c>
      <c r="F117" s="85"/>
      <c r="G117" s="82">
        <f>G116+Table_1[[#This Row],[수입]]-Table_1[[#This Row],[지출]]</f>
        <v>27477751</v>
      </c>
      <c r="H117" s="148" t="s">
        <v>200</v>
      </c>
      <c r="I117" s="150" t="s">
        <v>194</v>
      </c>
      <c r="J117" s="138" t="s">
        <v>41</v>
      </c>
      <c r="K117" s="138" t="s">
        <v>42</v>
      </c>
      <c r="L117" s="87"/>
      <c r="M117" s="88"/>
      <c r="N117" s="77"/>
      <c r="O117" s="93"/>
    </row>
    <row r="118" spans="1:15" ht="16.5" customHeight="1">
      <c r="A118" s="142">
        <v>46231</v>
      </c>
      <c r="B118" s="79" t="s">
        <v>48</v>
      </c>
      <c r="C118" s="143" t="s">
        <v>59</v>
      </c>
      <c r="D118" s="144"/>
      <c r="E118" s="145">
        <v>114000</v>
      </c>
      <c r="F118" s="85"/>
      <c r="G118" s="82">
        <f>G117+Table_1[[#This Row],[수입]]-Table_1[[#This Row],[지출]]</f>
        <v>27363751</v>
      </c>
      <c r="H118" s="149" t="s">
        <v>201</v>
      </c>
      <c r="I118" s="150" t="s">
        <v>202</v>
      </c>
      <c r="J118" s="133" t="s">
        <v>23</v>
      </c>
      <c r="K118" s="133" t="s">
        <v>24</v>
      </c>
      <c r="L118" s="87"/>
      <c r="M118" s="88"/>
      <c r="N118" s="77"/>
      <c r="O118" s="93"/>
    </row>
    <row r="119" spans="1:15" ht="16.5" customHeight="1">
      <c r="A119" s="137">
        <v>46233</v>
      </c>
      <c r="B119" s="79" t="s">
        <v>48</v>
      </c>
      <c r="C119" s="138" t="s">
        <v>59</v>
      </c>
      <c r="D119" s="141"/>
      <c r="E119" s="140">
        <v>32700</v>
      </c>
      <c r="F119" s="85"/>
      <c r="G119" s="82">
        <f>G118+Table_1[[#This Row],[수입]]-Table_1[[#This Row],[지출]]</f>
        <v>27331051</v>
      </c>
      <c r="H119" s="148" t="s">
        <v>203</v>
      </c>
      <c r="I119" s="150" t="s">
        <v>204</v>
      </c>
      <c r="J119" s="138" t="s">
        <v>37</v>
      </c>
      <c r="K119" s="138" t="s">
        <v>24</v>
      </c>
      <c r="L119" s="87"/>
      <c r="M119" s="88"/>
      <c r="N119" s="77"/>
      <c r="O119" s="93"/>
    </row>
    <row r="120" spans="1:15" ht="16.5" customHeight="1">
      <c r="A120" s="137">
        <v>46238</v>
      </c>
      <c r="B120" s="79" t="s">
        <v>48</v>
      </c>
      <c r="C120" s="138" t="s">
        <v>59</v>
      </c>
      <c r="D120" s="141"/>
      <c r="E120" s="140">
        <v>14800</v>
      </c>
      <c r="F120" s="85"/>
      <c r="G120" s="82">
        <f>G119+Table_1[[#This Row],[수입]]-Table_1[[#This Row],[지출]]</f>
        <v>27316251</v>
      </c>
      <c r="H120" s="148" t="s">
        <v>205</v>
      </c>
      <c r="I120" s="150" t="s">
        <v>206</v>
      </c>
      <c r="J120" s="138" t="s">
        <v>41</v>
      </c>
      <c r="K120" s="138" t="s">
        <v>42</v>
      </c>
      <c r="L120" s="87"/>
      <c r="M120" s="88"/>
      <c r="N120" s="77"/>
      <c r="O120" s="93"/>
    </row>
    <row r="121" spans="1:15" ht="16.5" customHeight="1">
      <c r="A121" s="137">
        <v>46238</v>
      </c>
      <c r="B121" s="79" t="s">
        <v>48</v>
      </c>
      <c r="C121" s="138" t="s">
        <v>59</v>
      </c>
      <c r="D121" s="141"/>
      <c r="E121" s="140">
        <v>11900</v>
      </c>
      <c r="F121" s="85"/>
      <c r="G121" s="82">
        <f>G120+Table_1[[#This Row],[수입]]-Table_1[[#This Row],[지출]]</f>
        <v>27304351</v>
      </c>
      <c r="H121" s="148" t="s">
        <v>205</v>
      </c>
      <c r="I121" s="150" t="s">
        <v>206</v>
      </c>
      <c r="J121" s="138" t="s">
        <v>41</v>
      </c>
      <c r="K121" s="138" t="s">
        <v>42</v>
      </c>
      <c r="L121" s="87"/>
      <c r="M121" s="88"/>
      <c r="N121" s="77"/>
      <c r="O121" s="93"/>
    </row>
    <row r="122" spans="1:15" ht="16.5" customHeight="1">
      <c r="A122" s="137">
        <v>46239</v>
      </c>
      <c r="B122" s="79" t="s">
        <v>48</v>
      </c>
      <c r="C122" s="138" t="s">
        <v>59</v>
      </c>
      <c r="D122" s="141"/>
      <c r="E122" s="140">
        <v>47000</v>
      </c>
      <c r="F122" s="85"/>
      <c r="G122" s="82">
        <f>G121+Table_1[[#This Row],[수입]]-Table_1[[#This Row],[지출]]</f>
        <v>27257351</v>
      </c>
      <c r="H122" s="148" t="s">
        <v>207</v>
      </c>
      <c r="I122" s="150" t="s">
        <v>208</v>
      </c>
      <c r="J122" s="138" t="s">
        <v>41</v>
      </c>
      <c r="K122" s="138" t="s">
        <v>42</v>
      </c>
      <c r="L122" s="87"/>
      <c r="M122" s="88"/>
      <c r="N122" s="77"/>
      <c r="O122" s="93"/>
    </row>
    <row r="123" spans="1:15" ht="16.5" customHeight="1">
      <c r="A123" s="137">
        <v>46241</v>
      </c>
      <c r="B123" s="79" t="s">
        <v>48</v>
      </c>
      <c r="C123" s="138" t="s">
        <v>59</v>
      </c>
      <c r="D123" s="141"/>
      <c r="E123" s="140">
        <v>14100</v>
      </c>
      <c r="F123" s="85"/>
      <c r="G123" s="82">
        <f>G122+Table_1[[#This Row],[수입]]-Table_1[[#This Row],[지출]]</f>
        <v>27243251</v>
      </c>
      <c r="H123" s="148" t="s">
        <v>198</v>
      </c>
      <c r="I123" s="150" t="s">
        <v>209</v>
      </c>
      <c r="J123" s="138" t="s">
        <v>41</v>
      </c>
      <c r="K123" s="138" t="s">
        <v>42</v>
      </c>
      <c r="L123" s="87"/>
      <c r="M123" s="88"/>
      <c r="N123" s="77"/>
      <c r="O123" s="93"/>
    </row>
    <row r="124" spans="1:15" ht="16.5" customHeight="1">
      <c r="A124" s="137">
        <v>46245</v>
      </c>
      <c r="B124" s="79" t="s">
        <v>48</v>
      </c>
      <c r="C124" s="138" t="s">
        <v>59</v>
      </c>
      <c r="D124" s="141"/>
      <c r="E124" s="140">
        <v>21000</v>
      </c>
      <c r="F124" s="85"/>
      <c r="G124" s="82">
        <f>G123+Table_1[[#This Row],[수입]]-Table_1[[#This Row],[지출]]</f>
        <v>27222251</v>
      </c>
      <c r="H124" s="148" t="s">
        <v>210</v>
      </c>
      <c r="I124" s="150" t="s">
        <v>211</v>
      </c>
      <c r="J124" s="138" t="s">
        <v>23</v>
      </c>
      <c r="K124" s="138" t="s">
        <v>24</v>
      </c>
      <c r="L124" s="87"/>
      <c r="M124" s="88"/>
      <c r="N124" s="77"/>
      <c r="O124" s="93"/>
    </row>
    <row r="125" spans="1:15" ht="16.5" customHeight="1">
      <c r="A125" s="137">
        <v>46245</v>
      </c>
      <c r="B125" s="79" t="s">
        <v>48</v>
      </c>
      <c r="C125" s="138" t="s">
        <v>59</v>
      </c>
      <c r="D125" s="141"/>
      <c r="E125" s="140">
        <v>16680</v>
      </c>
      <c r="F125" s="85"/>
      <c r="G125" s="82">
        <f>G124+Table_1[[#This Row],[수입]]-Table_1[[#This Row],[지출]]</f>
        <v>27205571</v>
      </c>
      <c r="H125" s="148" t="s">
        <v>212</v>
      </c>
      <c r="I125" s="150" t="s">
        <v>211</v>
      </c>
      <c r="J125" s="138" t="s">
        <v>41</v>
      </c>
      <c r="K125" s="138" t="s">
        <v>42</v>
      </c>
      <c r="L125" s="87"/>
      <c r="M125" s="88"/>
      <c r="N125" s="77"/>
      <c r="O125" s="93"/>
    </row>
    <row r="126" spans="1:15" ht="16.5" customHeight="1">
      <c r="A126" s="137">
        <v>46246</v>
      </c>
      <c r="B126" s="79" t="s">
        <v>48</v>
      </c>
      <c r="C126" s="138" t="s">
        <v>59</v>
      </c>
      <c r="D126" s="141"/>
      <c r="E126" s="140">
        <v>8000</v>
      </c>
      <c r="F126" s="85"/>
      <c r="G126" s="82">
        <f>G125+Table_1[[#This Row],[수입]]-Table_1[[#This Row],[지출]]</f>
        <v>27197571</v>
      </c>
      <c r="H126" s="148" t="s">
        <v>213</v>
      </c>
      <c r="I126" s="150" t="s">
        <v>214</v>
      </c>
      <c r="J126" s="138" t="s">
        <v>41</v>
      </c>
      <c r="K126" s="138" t="s">
        <v>42</v>
      </c>
      <c r="L126" s="87"/>
      <c r="M126" s="88"/>
      <c r="N126" s="77"/>
      <c r="O126" s="93"/>
    </row>
    <row r="127" spans="1:15" ht="16.5" customHeight="1">
      <c r="A127" s="137">
        <v>46246</v>
      </c>
      <c r="B127" s="79" t="s">
        <v>48</v>
      </c>
      <c r="C127" s="138" t="s">
        <v>59</v>
      </c>
      <c r="D127" s="141"/>
      <c r="E127" s="140">
        <v>13000</v>
      </c>
      <c r="F127" s="85"/>
      <c r="G127" s="82">
        <f>G126+Table_1[[#This Row],[수입]]-Table_1[[#This Row],[지출]]</f>
        <v>27184571</v>
      </c>
      <c r="H127" s="148" t="s">
        <v>215</v>
      </c>
      <c r="I127" s="150" t="s">
        <v>214</v>
      </c>
      <c r="J127" s="138" t="s">
        <v>41</v>
      </c>
      <c r="K127" s="138" t="s">
        <v>42</v>
      </c>
      <c r="L127" s="87"/>
      <c r="M127" s="88"/>
      <c r="N127" s="77"/>
      <c r="O127" s="93"/>
    </row>
    <row r="128" spans="1:15" ht="16.5" customHeight="1">
      <c r="A128" s="137">
        <v>46246</v>
      </c>
      <c r="B128" s="79" t="s">
        <v>48</v>
      </c>
      <c r="C128" s="138" t="s">
        <v>59</v>
      </c>
      <c r="D128" s="141"/>
      <c r="E128" s="140">
        <v>14900</v>
      </c>
      <c r="F128" s="85"/>
      <c r="G128" s="82">
        <f>G127+Table_1[[#This Row],[수입]]-Table_1[[#This Row],[지출]]</f>
        <v>27169671</v>
      </c>
      <c r="H128" s="148" t="s">
        <v>216</v>
      </c>
      <c r="I128" s="150" t="s">
        <v>214</v>
      </c>
      <c r="J128" s="138" t="s">
        <v>41</v>
      </c>
      <c r="K128" s="138" t="s">
        <v>42</v>
      </c>
      <c r="L128" s="87"/>
      <c r="M128" s="88"/>
      <c r="N128" s="77"/>
      <c r="O128" s="93"/>
    </row>
    <row r="129" spans="1:26" ht="16.5" customHeight="1">
      <c r="A129" s="137">
        <v>46246</v>
      </c>
      <c r="B129" s="79" t="s">
        <v>55</v>
      </c>
      <c r="C129" s="138" t="s">
        <v>56</v>
      </c>
      <c r="D129" s="141"/>
      <c r="E129" s="140">
        <v>298500</v>
      </c>
      <c r="F129" s="85"/>
      <c r="G129" s="82">
        <f>G128+Table_1[[#This Row],[수입]]-Table_1[[#This Row],[지출]]</f>
        <v>26871171</v>
      </c>
      <c r="H129" s="148" t="s">
        <v>217</v>
      </c>
      <c r="I129" s="150" t="s">
        <v>214</v>
      </c>
      <c r="J129" s="138" t="s">
        <v>41</v>
      </c>
      <c r="K129" s="138" t="s">
        <v>42</v>
      </c>
      <c r="L129" s="87"/>
      <c r="M129" s="88"/>
      <c r="N129" s="77"/>
      <c r="O129" s="93"/>
    </row>
    <row r="130" spans="1:26" ht="16.5" customHeight="1">
      <c r="A130" s="137">
        <v>46252</v>
      </c>
      <c r="B130" s="79" t="s">
        <v>48</v>
      </c>
      <c r="C130" s="138" t="s">
        <v>59</v>
      </c>
      <c r="D130" s="141"/>
      <c r="E130" s="140">
        <v>12600</v>
      </c>
      <c r="F130" s="85"/>
      <c r="G130" s="82">
        <f>G129+Table_1[[#This Row],[수입]]-Table_1[[#This Row],[지출]]</f>
        <v>26858571</v>
      </c>
      <c r="H130" s="148" t="s">
        <v>168</v>
      </c>
      <c r="I130" s="150" t="s">
        <v>218</v>
      </c>
      <c r="J130" s="138" t="s">
        <v>23</v>
      </c>
      <c r="K130" s="138" t="s">
        <v>24</v>
      </c>
      <c r="L130" s="87"/>
      <c r="M130" s="88"/>
      <c r="N130" s="77"/>
      <c r="O130" s="93"/>
    </row>
    <row r="131" spans="1:26" ht="16.5" customHeight="1">
      <c r="A131" s="137">
        <v>46253</v>
      </c>
      <c r="B131" s="79" t="s">
        <v>219</v>
      </c>
      <c r="C131" s="138" t="s">
        <v>220</v>
      </c>
      <c r="D131" s="141"/>
      <c r="E131" s="140">
        <v>135000</v>
      </c>
      <c r="F131" s="85"/>
      <c r="G131" s="82">
        <f>G130+Table_1[[#This Row],[수입]]-Table_1[[#This Row],[지출]]</f>
        <v>26723571</v>
      </c>
      <c r="H131" s="148" t="s">
        <v>221</v>
      </c>
      <c r="I131" s="150" t="s">
        <v>218</v>
      </c>
      <c r="J131" s="138" t="s">
        <v>37</v>
      </c>
      <c r="K131" s="138" t="s">
        <v>24</v>
      </c>
      <c r="L131" s="87"/>
      <c r="M131" s="88"/>
      <c r="N131" s="77"/>
      <c r="O131" s="93"/>
    </row>
    <row r="132" spans="1:26" ht="16.5" customHeight="1">
      <c r="A132" s="137">
        <v>46253</v>
      </c>
      <c r="B132" s="79" t="s">
        <v>222</v>
      </c>
      <c r="C132" s="138" t="s">
        <v>223</v>
      </c>
      <c r="D132" s="141"/>
      <c r="E132" s="140">
        <v>135000</v>
      </c>
      <c r="F132" s="85"/>
      <c r="G132" s="82">
        <f>G131+Table_1[[#This Row],[수입]]-Table_1[[#This Row],[지출]]</f>
        <v>26588571</v>
      </c>
      <c r="H132" s="148" t="s">
        <v>224</v>
      </c>
      <c r="I132" s="150" t="s">
        <v>218</v>
      </c>
      <c r="J132" s="138" t="s">
        <v>37</v>
      </c>
      <c r="K132" s="138" t="s">
        <v>24</v>
      </c>
      <c r="L132" s="87"/>
      <c r="M132" s="88"/>
      <c r="N132" s="77"/>
      <c r="O132" s="93"/>
    </row>
    <row r="133" spans="1:26" ht="16.5" customHeight="1">
      <c r="A133" s="137">
        <v>46253</v>
      </c>
      <c r="B133" s="79" t="s">
        <v>48</v>
      </c>
      <c r="C133" s="138" t="s">
        <v>59</v>
      </c>
      <c r="D133" s="141"/>
      <c r="E133" s="140">
        <v>19400</v>
      </c>
      <c r="F133" s="85"/>
      <c r="G133" s="82">
        <f>G132+Table_1[[#This Row],[수입]]-Table_1[[#This Row],[지출]]</f>
        <v>26569171</v>
      </c>
      <c r="H133" s="148" t="s">
        <v>225</v>
      </c>
      <c r="I133" s="150" t="s">
        <v>226</v>
      </c>
      <c r="J133" s="138" t="s">
        <v>23</v>
      </c>
      <c r="K133" s="138" t="s">
        <v>24</v>
      </c>
      <c r="L133" s="87"/>
      <c r="M133" s="88"/>
      <c r="N133" s="77"/>
      <c r="O133" s="93"/>
    </row>
    <row r="134" spans="1:26" ht="16.5" customHeight="1">
      <c r="A134" s="137">
        <v>46254</v>
      </c>
      <c r="B134" s="79" t="s">
        <v>48</v>
      </c>
      <c r="C134" s="138" t="s">
        <v>59</v>
      </c>
      <c r="D134" s="141"/>
      <c r="E134" s="140">
        <v>44000</v>
      </c>
      <c r="F134" s="85"/>
      <c r="G134" s="82">
        <f>G133+Table_1[[#This Row],[수입]]-Table_1[[#This Row],[지출]]</f>
        <v>26525171</v>
      </c>
      <c r="H134" s="148" t="s">
        <v>227</v>
      </c>
      <c r="I134" s="150" t="s">
        <v>226</v>
      </c>
      <c r="J134" s="138" t="s">
        <v>41</v>
      </c>
      <c r="K134" s="138" t="s">
        <v>42</v>
      </c>
      <c r="L134" s="87"/>
      <c r="M134" s="88"/>
      <c r="N134" s="77"/>
      <c r="O134" s="93"/>
    </row>
    <row r="135" spans="1:26" ht="16.5" customHeight="1">
      <c r="A135" s="137">
        <v>46254</v>
      </c>
      <c r="B135" s="79" t="s">
        <v>48</v>
      </c>
      <c r="C135" s="138" t="s">
        <v>59</v>
      </c>
      <c r="D135" s="141"/>
      <c r="E135" s="140">
        <v>22800</v>
      </c>
      <c r="F135" s="85"/>
      <c r="G135" s="82">
        <f>G134+Table_1[[#This Row],[수입]]-Table_1[[#This Row],[지출]]</f>
        <v>26502371</v>
      </c>
      <c r="H135" s="148" t="s">
        <v>228</v>
      </c>
      <c r="I135" s="150" t="s">
        <v>229</v>
      </c>
      <c r="J135" s="138" t="s">
        <v>41</v>
      </c>
      <c r="K135" s="138" t="s">
        <v>42</v>
      </c>
      <c r="L135" s="87"/>
      <c r="M135" s="88"/>
      <c r="N135" s="77"/>
      <c r="O135" s="93"/>
    </row>
    <row r="136" spans="1:26" ht="16.5" customHeight="1">
      <c r="A136" s="137">
        <v>46259</v>
      </c>
      <c r="B136" s="79" t="s">
        <v>48</v>
      </c>
      <c r="C136" s="138" t="s">
        <v>59</v>
      </c>
      <c r="D136" s="141"/>
      <c r="E136" s="140">
        <v>11200</v>
      </c>
      <c r="F136" s="85"/>
      <c r="G136" s="82">
        <f>G135+Table_1[[#This Row],[수입]]-Table_1[[#This Row],[지출]]</f>
        <v>26491171</v>
      </c>
      <c r="H136" s="148" t="s">
        <v>230</v>
      </c>
      <c r="I136" s="150" t="s">
        <v>229</v>
      </c>
      <c r="J136" s="138" t="s">
        <v>41</v>
      </c>
      <c r="K136" s="138" t="s">
        <v>42</v>
      </c>
      <c r="L136" s="87"/>
      <c r="M136" s="88"/>
      <c r="N136" s="77"/>
      <c r="O136" s="93"/>
    </row>
    <row r="137" spans="1:26" ht="16.5" customHeight="1">
      <c r="A137" s="137">
        <v>46261</v>
      </c>
      <c r="B137" s="79" t="s">
        <v>48</v>
      </c>
      <c r="C137" s="138" t="s">
        <v>59</v>
      </c>
      <c r="D137" s="141"/>
      <c r="E137" s="140">
        <v>16500</v>
      </c>
      <c r="F137" s="85"/>
      <c r="G137" s="82">
        <f>G136+Table_1[[#This Row],[수입]]-Table_1[[#This Row],[지출]]</f>
        <v>26474671</v>
      </c>
      <c r="H137" s="148" t="s">
        <v>231</v>
      </c>
      <c r="I137" s="150" t="s">
        <v>232</v>
      </c>
      <c r="J137" s="138" t="s">
        <v>41</v>
      </c>
      <c r="K137" s="138" t="s">
        <v>42</v>
      </c>
      <c r="L137" s="87"/>
      <c r="M137" s="88"/>
      <c r="N137" s="77"/>
      <c r="O137" s="93"/>
    </row>
    <row r="138" spans="1:26" ht="16.5" customHeight="1">
      <c r="A138" s="137">
        <v>46261</v>
      </c>
      <c r="B138" s="79" t="s">
        <v>48</v>
      </c>
      <c r="C138" s="138" t="s">
        <v>59</v>
      </c>
      <c r="D138" s="141"/>
      <c r="E138" s="140">
        <v>39500</v>
      </c>
      <c r="F138" s="85"/>
      <c r="G138" s="82">
        <f>G137+Table_1[[#This Row],[수입]]-Table_1[[#This Row],[지출]]</f>
        <v>26435171</v>
      </c>
      <c r="H138" s="148" t="s">
        <v>233</v>
      </c>
      <c r="I138" s="150" t="s">
        <v>232</v>
      </c>
      <c r="J138" s="138" t="s">
        <v>41</v>
      </c>
      <c r="K138" s="138" t="s">
        <v>42</v>
      </c>
      <c r="L138" s="87"/>
      <c r="M138" s="88"/>
      <c r="N138" s="77"/>
      <c r="O138" s="93"/>
    </row>
    <row r="139" spans="1:26" ht="16.5" customHeight="1">
      <c r="A139" s="137">
        <v>46262</v>
      </c>
      <c r="B139" s="79" t="s">
        <v>4</v>
      </c>
      <c r="C139" s="138" t="s">
        <v>17</v>
      </c>
      <c r="D139" s="141">
        <v>1870000</v>
      </c>
      <c r="E139" s="140"/>
      <c r="F139" s="85"/>
      <c r="G139" s="82">
        <f>G138+Table_1[[#This Row],[수입]]-Table_1[[#This Row],[지출]]</f>
        <v>28305171</v>
      </c>
      <c r="H139" s="148" t="s">
        <v>199</v>
      </c>
      <c r="I139" s="137">
        <v>46262</v>
      </c>
      <c r="J139" s="138" t="s">
        <v>41</v>
      </c>
      <c r="K139" s="138" t="s">
        <v>42</v>
      </c>
      <c r="L139" s="87"/>
      <c r="M139" s="88"/>
      <c r="N139" s="77"/>
      <c r="O139" s="93"/>
    </row>
    <row r="140" spans="1:26" s="176" customFormat="1" ht="16.5" customHeight="1">
      <c r="A140" s="137">
        <v>46262</v>
      </c>
      <c r="B140" s="79" t="s">
        <v>48</v>
      </c>
      <c r="C140" s="170" t="s">
        <v>59</v>
      </c>
      <c r="D140" s="171"/>
      <c r="E140" s="172">
        <v>11800</v>
      </c>
      <c r="F140" s="85"/>
      <c r="G140" s="82">
        <f>G139+Table_1[[#This Row],[수입]]-Table_1[[#This Row],[지출]]</f>
        <v>28293371</v>
      </c>
      <c r="H140" s="173"/>
      <c r="I140" s="150" t="s">
        <v>396</v>
      </c>
      <c r="J140" s="138" t="s">
        <v>23</v>
      </c>
      <c r="K140" s="138" t="s">
        <v>24</v>
      </c>
      <c r="L140" s="87"/>
      <c r="M140" s="88"/>
      <c r="N140" s="170"/>
      <c r="O140" s="174"/>
      <c r="P140" s="175"/>
      <c r="Q140" s="175"/>
      <c r="R140" s="175"/>
      <c r="S140" s="175"/>
      <c r="T140" s="175"/>
      <c r="U140" s="175"/>
      <c r="V140" s="175"/>
      <c r="W140" s="175"/>
      <c r="X140" s="175"/>
      <c r="Y140" s="175"/>
      <c r="Z140" s="175"/>
    </row>
    <row r="141" spans="1:26" ht="16.5" customHeight="1">
      <c r="A141" s="137">
        <v>46265</v>
      </c>
      <c r="B141" s="79" t="s">
        <v>4</v>
      </c>
      <c r="C141" s="79" t="s">
        <v>234</v>
      </c>
      <c r="D141" s="85">
        <v>3308400</v>
      </c>
      <c r="E141" s="85"/>
      <c r="F141" s="85"/>
      <c r="G141" s="82">
        <f>G140+Table_1[[#This Row],[수입]]-Table_1[[#This Row],[지출]]</f>
        <v>31601771</v>
      </c>
      <c r="H141" s="86"/>
      <c r="I141" s="137">
        <v>46265</v>
      </c>
      <c r="J141" s="138" t="s">
        <v>41</v>
      </c>
      <c r="K141" s="138" t="s">
        <v>42</v>
      </c>
      <c r="L141" s="87"/>
      <c r="M141" s="88"/>
      <c r="N141" s="77"/>
      <c r="O141" s="93"/>
    </row>
    <row r="142" spans="1:26" ht="16.5" customHeight="1">
      <c r="A142" s="137">
        <v>46266</v>
      </c>
      <c r="B142" s="79" t="s">
        <v>48</v>
      </c>
      <c r="C142" s="138" t="s">
        <v>59</v>
      </c>
      <c r="D142" s="85"/>
      <c r="E142" s="85">
        <v>95000</v>
      </c>
      <c r="F142" s="85"/>
      <c r="G142" s="82">
        <f>G141+Table_1[[#This Row],[수입]]-Table_1[[#This Row],[지출]]</f>
        <v>31506771</v>
      </c>
      <c r="H142" s="86" t="s">
        <v>235</v>
      </c>
      <c r="I142" s="150" t="s">
        <v>236</v>
      </c>
      <c r="J142" s="138" t="s">
        <v>41</v>
      </c>
      <c r="K142" s="138" t="s">
        <v>42</v>
      </c>
      <c r="L142" s="87"/>
      <c r="M142" s="88"/>
      <c r="N142" s="77"/>
      <c r="O142" s="93"/>
    </row>
    <row r="143" spans="1:26" ht="16.5" customHeight="1">
      <c r="A143" s="137">
        <v>46266</v>
      </c>
      <c r="B143" s="79" t="s">
        <v>48</v>
      </c>
      <c r="C143" s="138" t="s">
        <v>59</v>
      </c>
      <c r="D143" s="85"/>
      <c r="E143" s="85">
        <v>17400</v>
      </c>
      <c r="F143" s="85"/>
      <c r="G143" s="82">
        <f>G142+Table_1[[#This Row],[수입]]-Table_1[[#This Row],[지출]]</f>
        <v>31489371</v>
      </c>
      <c r="H143" s="86" t="s">
        <v>237</v>
      </c>
      <c r="I143" s="150" t="s">
        <v>236</v>
      </c>
      <c r="J143" s="138" t="s">
        <v>41</v>
      </c>
      <c r="K143" s="138" t="s">
        <v>42</v>
      </c>
      <c r="L143" s="87"/>
      <c r="M143" s="88"/>
      <c r="N143" s="77"/>
      <c r="O143" s="93"/>
    </row>
    <row r="144" spans="1:26" ht="16.5" customHeight="1">
      <c r="A144" s="137">
        <v>46267</v>
      </c>
      <c r="B144" s="79" t="s">
        <v>48</v>
      </c>
      <c r="C144" s="138" t="s">
        <v>59</v>
      </c>
      <c r="D144" s="85"/>
      <c r="E144" s="85">
        <v>17200</v>
      </c>
      <c r="F144" s="85"/>
      <c r="G144" s="82">
        <f>G143+Table_1[[#This Row],[수입]]-Table_1[[#This Row],[지출]]</f>
        <v>31472171</v>
      </c>
      <c r="H144" s="86" t="s">
        <v>385</v>
      </c>
      <c r="I144" s="150" t="s">
        <v>386</v>
      </c>
      <c r="J144" s="138" t="s">
        <v>41</v>
      </c>
      <c r="K144" s="138" t="s">
        <v>42</v>
      </c>
      <c r="L144" s="87"/>
      <c r="M144" s="88"/>
      <c r="N144" s="77"/>
      <c r="O144" s="93"/>
    </row>
    <row r="145" spans="1:26" ht="16.5" customHeight="1">
      <c r="A145" s="137">
        <v>46269</v>
      </c>
      <c r="B145" s="79" t="s">
        <v>48</v>
      </c>
      <c r="C145" s="138" t="s">
        <v>59</v>
      </c>
      <c r="D145" s="85"/>
      <c r="E145" s="85">
        <v>12200</v>
      </c>
      <c r="F145" s="85"/>
      <c r="G145" s="82">
        <f>G144+Table_1[[#This Row],[수입]]-Table_1[[#This Row],[지출]]</f>
        <v>31459971</v>
      </c>
      <c r="H145" s="86" t="s">
        <v>387</v>
      </c>
      <c r="I145" s="150" t="s">
        <v>388</v>
      </c>
      <c r="J145" s="138" t="s">
        <v>41</v>
      </c>
      <c r="K145" s="138" t="s">
        <v>42</v>
      </c>
      <c r="L145" s="87"/>
      <c r="M145" s="88"/>
      <c r="N145" s="77"/>
      <c r="O145" s="93"/>
    </row>
    <row r="146" spans="1:26" ht="16.5" customHeight="1">
      <c r="A146" s="137">
        <v>46273</v>
      </c>
      <c r="B146" s="79" t="s">
        <v>48</v>
      </c>
      <c r="C146" s="138" t="s">
        <v>59</v>
      </c>
      <c r="D146" s="85"/>
      <c r="E146" s="85">
        <v>44500</v>
      </c>
      <c r="F146" s="85"/>
      <c r="G146" s="82">
        <f>G145+Table_1[[#This Row],[수입]]-Table_1[[#This Row],[지출]]</f>
        <v>31415471</v>
      </c>
      <c r="H146" s="86" t="s">
        <v>389</v>
      </c>
      <c r="I146" s="150" t="s">
        <v>390</v>
      </c>
      <c r="J146" s="138" t="s">
        <v>41</v>
      </c>
      <c r="K146" s="138" t="s">
        <v>42</v>
      </c>
      <c r="L146" s="87"/>
      <c r="M146" s="88"/>
      <c r="N146" s="77"/>
      <c r="O146" s="93"/>
    </row>
    <row r="147" spans="1:26" ht="16.5" customHeight="1">
      <c r="A147" s="137">
        <v>46273</v>
      </c>
      <c r="B147" s="79" t="s">
        <v>55</v>
      </c>
      <c r="C147" s="79" t="s">
        <v>244</v>
      </c>
      <c r="D147" s="85"/>
      <c r="E147" s="85">
        <v>376000</v>
      </c>
      <c r="F147" s="85"/>
      <c r="G147" s="82">
        <f>G146+Table_1[[#This Row],[수입]]-Table_1[[#This Row],[지출]]</f>
        <v>31039471</v>
      </c>
      <c r="H147" s="86" t="s">
        <v>391</v>
      </c>
      <c r="I147" s="150" t="s">
        <v>390</v>
      </c>
      <c r="J147" s="138" t="s">
        <v>37</v>
      </c>
      <c r="K147" s="138" t="s">
        <v>24</v>
      </c>
      <c r="L147" s="87"/>
      <c r="M147" s="88"/>
      <c r="N147" s="77"/>
      <c r="O147" s="93"/>
    </row>
    <row r="148" spans="1:26" ht="16.5" customHeight="1">
      <c r="A148" s="137">
        <v>46275</v>
      </c>
      <c r="B148" s="79" t="s">
        <v>48</v>
      </c>
      <c r="C148" s="138" t="s">
        <v>59</v>
      </c>
      <c r="D148" s="85"/>
      <c r="E148" s="85">
        <v>150000</v>
      </c>
      <c r="F148" s="85"/>
      <c r="G148" s="82">
        <f>G147+Table_1[[#This Row],[수입]]-Table_1[[#This Row],[지출]]</f>
        <v>30889471</v>
      </c>
      <c r="H148" s="86" t="s">
        <v>392</v>
      </c>
      <c r="I148" s="150" t="s">
        <v>393</v>
      </c>
      <c r="J148" s="138" t="s">
        <v>41</v>
      </c>
      <c r="K148" s="138" t="s">
        <v>42</v>
      </c>
      <c r="L148" s="87"/>
      <c r="M148" s="88"/>
      <c r="N148" s="77"/>
      <c r="O148" s="93"/>
    </row>
    <row r="149" spans="1:26" ht="16.5" customHeight="1">
      <c r="A149" s="137">
        <v>46276</v>
      </c>
      <c r="B149" s="79" t="s">
        <v>55</v>
      </c>
      <c r="C149" s="138" t="s">
        <v>56</v>
      </c>
      <c r="D149" s="85"/>
      <c r="E149" s="85">
        <v>222000</v>
      </c>
      <c r="F149" s="85"/>
      <c r="G149" s="82">
        <f>G148+Table_1[[#This Row],[수입]]-Table_1[[#This Row],[지출]]</f>
        <v>30667471</v>
      </c>
      <c r="H149" s="86" t="s">
        <v>394</v>
      </c>
      <c r="I149" s="150" t="s">
        <v>395</v>
      </c>
      <c r="J149" s="138" t="s">
        <v>41</v>
      </c>
      <c r="K149" s="138" t="s">
        <v>42</v>
      </c>
      <c r="L149" s="87"/>
      <c r="M149" s="88"/>
      <c r="N149" s="77"/>
      <c r="O149" s="93"/>
    </row>
    <row r="150" spans="1:26" ht="16.5" customHeight="1">
      <c r="A150" s="137">
        <v>46279</v>
      </c>
      <c r="B150" s="79" t="s">
        <v>48</v>
      </c>
      <c r="C150" s="138" t="s">
        <v>59</v>
      </c>
      <c r="D150" s="85"/>
      <c r="E150" s="85">
        <v>10880</v>
      </c>
      <c r="F150" s="85"/>
      <c r="G150" s="82">
        <f>G149+Table_1[[#This Row],[수입]]-Table_1[[#This Row],[지출]]</f>
        <v>30656591</v>
      </c>
      <c r="H150" s="86" t="s">
        <v>400</v>
      </c>
      <c r="I150" s="137">
        <v>46279</v>
      </c>
      <c r="J150" s="79" t="s">
        <v>397</v>
      </c>
      <c r="K150" s="79" t="s">
        <v>398</v>
      </c>
      <c r="L150" s="87"/>
      <c r="M150" s="88"/>
      <c r="N150" s="77"/>
      <c r="O150" s="93"/>
    </row>
    <row r="151" spans="1:26" ht="16.5" customHeight="1">
      <c r="A151" s="137">
        <v>46280</v>
      </c>
      <c r="B151" s="79" t="s">
        <v>48</v>
      </c>
      <c r="C151" s="138" t="s">
        <v>59</v>
      </c>
      <c r="D151" s="85"/>
      <c r="E151" s="85">
        <v>14400</v>
      </c>
      <c r="F151" s="85"/>
      <c r="G151" s="82">
        <f>G150+Table_1[[#This Row],[수입]]-Table_1[[#This Row],[지출]]</f>
        <v>30642191</v>
      </c>
      <c r="H151" s="86" t="s">
        <v>399</v>
      </c>
      <c r="I151" s="150" t="s">
        <v>401</v>
      </c>
      <c r="J151" s="138" t="s">
        <v>23</v>
      </c>
      <c r="K151" s="138" t="s">
        <v>24</v>
      </c>
      <c r="L151" s="87"/>
      <c r="M151" s="88"/>
      <c r="N151" s="77"/>
      <c r="O151" s="93"/>
    </row>
    <row r="152" spans="1:26" ht="16.5" customHeight="1">
      <c r="A152" s="137">
        <v>46282</v>
      </c>
      <c r="B152" s="79" t="s">
        <v>48</v>
      </c>
      <c r="C152" s="138" t="s">
        <v>59</v>
      </c>
      <c r="D152" s="85"/>
      <c r="E152" s="85">
        <v>23400</v>
      </c>
      <c r="F152" s="85"/>
      <c r="G152" s="82">
        <f>G151+Table_1[[#This Row],[수입]]-Table_1[[#This Row],[지출]]</f>
        <v>30618791</v>
      </c>
      <c r="H152" s="86" t="s">
        <v>402</v>
      </c>
      <c r="I152" s="137">
        <v>46282</v>
      </c>
      <c r="J152" s="138" t="s">
        <v>41</v>
      </c>
      <c r="K152" s="138" t="s">
        <v>42</v>
      </c>
      <c r="L152" s="87"/>
      <c r="M152" s="88"/>
      <c r="N152" s="77"/>
      <c r="O152" s="93"/>
    </row>
    <row r="153" spans="1:26" ht="16.5" customHeight="1">
      <c r="A153" s="137">
        <v>46283</v>
      </c>
      <c r="B153" s="79" t="s">
        <v>48</v>
      </c>
      <c r="C153" s="138" t="s">
        <v>59</v>
      </c>
      <c r="D153" s="85"/>
      <c r="E153" s="85">
        <v>47300</v>
      </c>
      <c r="F153" s="85"/>
      <c r="G153" s="82">
        <f>G152+Table_1[[#This Row],[수입]]-Table_1[[#This Row],[지출]]</f>
        <v>30571491</v>
      </c>
      <c r="H153" s="86" t="s">
        <v>403</v>
      </c>
      <c r="I153" s="137">
        <v>46283</v>
      </c>
      <c r="J153" s="138" t="s">
        <v>41</v>
      </c>
      <c r="K153" s="138" t="s">
        <v>42</v>
      </c>
      <c r="L153" s="87"/>
      <c r="M153" s="88"/>
      <c r="N153" s="77"/>
      <c r="O153" s="93"/>
    </row>
    <row r="154" spans="1:26" ht="16.5" customHeight="1">
      <c r="A154" s="137">
        <v>46283</v>
      </c>
      <c r="B154" s="79" t="s">
        <v>48</v>
      </c>
      <c r="C154" s="138" t="s">
        <v>59</v>
      </c>
      <c r="D154" s="85"/>
      <c r="E154" s="85">
        <v>10000</v>
      </c>
      <c r="F154" s="85"/>
      <c r="G154" s="82">
        <f>G153+Table_1[[#This Row],[수입]]-Table_1[[#This Row],[지출]]</f>
        <v>30561491</v>
      </c>
      <c r="H154" s="86" t="s">
        <v>404</v>
      </c>
      <c r="I154" s="137">
        <v>46283</v>
      </c>
      <c r="J154" s="138" t="s">
        <v>37</v>
      </c>
      <c r="K154" s="138" t="s">
        <v>24</v>
      </c>
      <c r="L154" s="87"/>
      <c r="M154" s="88"/>
      <c r="N154" s="77"/>
      <c r="O154" s="93"/>
    </row>
    <row r="155" spans="1:26" ht="16.5" customHeight="1">
      <c r="A155" s="137">
        <v>46283</v>
      </c>
      <c r="B155" s="79" t="s">
        <v>48</v>
      </c>
      <c r="C155" s="138" t="s">
        <v>59</v>
      </c>
      <c r="D155" s="85"/>
      <c r="E155" s="85">
        <v>17000</v>
      </c>
      <c r="F155" s="85"/>
      <c r="G155" s="82">
        <f>G154+Table_1[[#This Row],[수입]]-Table_1[[#This Row],[지출]]</f>
        <v>30544491</v>
      </c>
      <c r="H155" s="86" t="s">
        <v>405</v>
      </c>
      <c r="I155" s="137">
        <v>46283</v>
      </c>
      <c r="J155" s="79" t="s">
        <v>397</v>
      </c>
      <c r="K155" s="79" t="s">
        <v>398</v>
      </c>
      <c r="L155" s="87"/>
      <c r="M155" s="88"/>
      <c r="N155" s="77"/>
      <c r="O155" s="93"/>
    </row>
    <row r="156" spans="1:26" ht="16.5" customHeight="1">
      <c r="A156" s="137">
        <v>46286</v>
      </c>
      <c r="B156" s="79" t="s">
        <v>48</v>
      </c>
      <c r="C156" s="138" t="s">
        <v>59</v>
      </c>
      <c r="D156" s="85"/>
      <c r="E156" s="85">
        <v>32000</v>
      </c>
      <c r="F156" s="85"/>
      <c r="G156" s="82">
        <f>G155+Table_1[[#This Row],[수입]]-Table_1[[#This Row],[지출]]</f>
        <v>30512491</v>
      </c>
      <c r="H156" s="86" t="s">
        <v>406</v>
      </c>
      <c r="I156" s="137">
        <v>46286</v>
      </c>
      <c r="J156" s="138" t="s">
        <v>37</v>
      </c>
      <c r="K156" s="138" t="s">
        <v>24</v>
      </c>
      <c r="L156" s="87"/>
      <c r="M156" s="88"/>
      <c r="N156" s="77"/>
      <c r="O156" s="93"/>
    </row>
    <row r="157" spans="1:26" ht="16.5" customHeight="1">
      <c r="A157" s="137">
        <v>46287</v>
      </c>
      <c r="B157" s="79" t="s">
        <v>48</v>
      </c>
      <c r="C157" s="138" t="s">
        <v>59</v>
      </c>
      <c r="D157" s="85"/>
      <c r="E157" s="85">
        <v>17600</v>
      </c>
      <c r="F157" s="85"/>
      <c r="G157" s="82">
        <f>G156+Table_1[[#This Row],[수입]]-Table_1[[#This Row],[지출]]</f>
        <v>30494891</v>
      </c>
      <c r="H157" s="86" t="s">
        <v>407</v>
      </c>
      <c r="I157" s="137">
        <v>46287</v>
      </c>
      <c r="J157" s="138" t="s">
        <v>23</v>
      </c>
      <c r="K157" s="138" t="s">
        <v>24</v>
      </c>
      <c r="L157" s="87"/>
      <c r="M157" s="88"/>
      <c r="N157" s="77"/>
      <c r="O157" s="93"/>
    </row>
    <row r="158" spans="1:26" s="176" customFormat="1" ht="16.5" customHeight="1">
      <c r="A158" s="137">
        <v>46287</v>
      </c>
      <c r="B158" s="79" t="s">
        <v>48</v>
      </c>
      <c r="C158" s="138" t="s">
        <v>59</v>
      </c>
      <c r="D158" s="85"/>
      <c r="E158" s="85">
        <v>19400</v>
      </c>
      <c r="F158" s="85"/>
      <c r="G158" s="82">
        <f>G157+Table_1[[#This Row],[수입]]-Table_1[[#This Row],[지출]]</f>
        <v>30475491</v>
      </c>
      <c r="H158" s="86" t="s">
        <v>399</v>
      </c>
      <c r="I158" s="137">
        <v>46287</v>
      </c>
      <c r="J158" s="138" t="s">
        <v>23</v>
      </c>
      <c r="K158" s="138" t="s">
        <v>24</v>
      </c>
      <c r="L158" s="87"/>
      <c r="M158" s="88"/>
      <c r="N158" s="170"/>
      <c r="O158" s="174"/>
      <c r="P158" s="175"/>
      <c r="Q158" s="175"/>
      <c r="R158" s="175"/>
      <c r="S158" s="175"/>
      <c r="T158" s="175"/>
      <c r="U158" s="175"/>
      <c r="V158" s="175"/>
      <c r="W158" s="175"/>
      <c r="X158" s="175"/>
      <c r="Y158" s="175"/>
      <c r="Z158" s="175"/>
    </row>
    <row r="159" spans="1:26" ht="16.5" customHeight="1">
      <c r="A159" s="137">
        <v>46294</v>
      </c>
      <c r="B159" s="79" t="s">
        <v>48</v>
      </c>
      <c r="C159" s="138" t="s">
        <v>59</v>
      </c>
      <c r="D159" s="85"/>
      <c r="E159" s="85">
        <v>24500</v>
      </c>
      <c r="F159" s="85"/>
      <c r="G159" s="82">
        <f>G158+Table_1[[#This Row],[수입]]-Table_1[[#This Row],[지출]]</f>
        <v>30450991</v>
      </c>
      <c r="H159" s="86" t="s">
        <v>408</v>
      </c>
      <c r="I159" s="137">
        <v>46294</v>
      </c>
      <c r="J159" s="138" t="s">
        <v>41</v>
      </c>
      <c r="K159" s="138" t="s">
        <v>42</v>
      </c>
      <c r="L159" s="87"/>
      <c r="M159" s="88"/>
      <c r="N159" s="77"/>
      <c r="O159" s="93"/>
    </row>
    <row r="160" spans="1:26" ht="16.5" customHeight="1">
      <c r="A160" s="137">
        <v>46294</v>
      </c>
      <c r="B160" s="79" t="s">
        <v>48</v>
      </c>
      <c r="C160" s="138" t="s">
        <v>59</v>
      </c>
      <c r="D160" s="85"/>
      <c r="E160" s="85">
        <v>14100</v>
      </c>
      <c r="F160" s="85"/>
      <c r="G160" s="82">
        <f>G159+Table_1[[#This Row],[수입]]-Table_1[[#This Row],[지출]]</f>
        <v>30436891</v>
      </c>
      <c r="H160" s="86" t="s">
        <v>409</v>
      </c>
      <c r="I160" s="137">
        <v>46294</v>
      </c>
      <c r="J160" s="138" t="s">
        <v>41</v>
      </c>
      <c r="K160" s="138" t="s">
        <v>42</v>
      </c>
      <c r="L160" s="87"/>
      <c r="M160" s="88"/>
      <c r="N160" s="77"/>
      <c r="O160" s="93"/>
    </row>
    <row r="161" spans="1:26" s="176" customFormat="1" ht="16.5" customHeight="1">
      <c r="A161" s="137">
        <v>46294</v>
      </c>
      <c r="B161" s="79" t="s">
        <v>48</v>
      </c>
      <c r="C161" s="138" t="s">
        <v>59</v>
      </c>
      <c r="D161" s="85"/>
      <c r="E161" s="85">
        <v>17600</v>
      </c>
      <c r="F161" s="85"/>
      <c r="G161" s="82">
        <f>G160+Table_1[[#This Row],[수입]]-Table_1[[#This Row],[지출]]</f>
        <v>30419291</v>
      </c>
      <c r="H161" s="173" t="s">
        <v>407</v>
      </c>
      <c r="I161" s="137">
        <v>46294</v>
      </c>
      <c r="J161" s="138" t="s">
        <v>23</v>
      </c>
      <c r="K161" s="138" t="s">
        <v>24</v>
      </c>
      <c r="L161" s="87"/>
      <c r="M161" s="88"/>
      <c r="N161" s="170"/>
      <c r="O161" s="174"/>
      <c r="P161" s="175"/>
      <c r="Q161" s="175"/>
      <c r="R161" s="175"/>
      <c r="S161" s="175"/>
      <c r="T161" s="175"/>
      <c r="U161" s="175"/>
      <c r="V161" s="175"/>
      <c r="W161" s="175"/>
      <c r="X161" s="175"/>
      <c r="Y161" s="175"/>
      <c r="Z161" s="175"/>
    </row>
    <row r="162" spans="1:26" ht="16.5" customHeight="1">
      <c r="A162" s="137">
        <v>46295</v>
      </c>
      <c r="B162" s="79" t="s">
        <v>4</v>
      </c>
      <c r="C162" s="79" t="s">
        <v>17</v>
      </c>
      <c r="D162" s="85">
        <v>1880000</v>
      </c>
      <c r="E162" s="85"/>
      <c r="F162" s="85"/>
      <c r="G162" s="82">
        <f>G161+Table_1[[#This Row],[수입]]-Table_1[[#This Row],[지출]]</f>
        <v>32299291</v>
      </c>
      <c r="H162" s="148" t="s">
        <v>199</v>
      </c>
      <c r="I162" s="137">
        <v>46295</v>
      </c>
      <c r="J162" s="138" t="s">
        <v>41</v>
      </c>
      <c r="K162" s="138" t="s">
        <v>42</v>
      </c>
      <c r="L162" s="87"/>
      <c r="M162" s="88"/>
      <c r="N162" s="77"/>
      <c r="O162" s="93"/>
    </row>
    <row r="163" spans="1:26" ht="16.5" customHeight="1">
      <c r="A163" s="137">
        <v>46295</v>
      </c>
      <c r="B163" s="79" t="s">
        <v>48</v>
      </c>
      <c r="C163" s="138" t="s">
        <v>59</v>
      </c>
      <c r="D163" s="85"/>
      <c r="E163" s="85">
        <v>13200</v>
      </c>
      <c r="F163" s="85"/>
      <c r="G163" s="82">
        <f>G162+Table_1[[#This Row],[수입]]-Table_1[[#This Row],[지출]]</f>
        <v>32286091</v>
      </c>
      <c r="H163" s="86" t="s">
        <v>412</v>
      </c>
      <c r="I163" s="137">
        <v>46295</v>
      </c>
      <c r="J163" s="138" t="s">
        <v>37</v>
      </c>
      <c r="K163" s="138" t="s">
        <v>24</v>
      </c>
      <c r="L163" s="87"/>
      <c r="M163" s="88"/>
      <c r="N163" s="77"/>
      <c r="O163" s="93"/>
    </row>
    <row r="164" spans="1:26" ht="16.5" customHeight="1">
      <c r="A164" s="137">
        <v>46296</v>
      </c>
      <c r="B164" s="79" t="s">
        <v>48</v>
      </c>
      <c r="C164" s="138" t="s">
        <v>59</v>
      </c>
      <c r="D164" s="85"/>
      <c r="E164" s="85">
        <v>19800</v>
      </c>
      <c r="F164" s="85"/>
      <c r="G164" s="82">
        <f>G163+Table_1[[#This Row],[수입]]-Table_1[[#This Row],[지출]]</f>
        <v>32266291</v>
      </c>
      <c r="H164" s="86" t="s">
        <v>413</v>
      </c>
      <c r="I164" s="137">
        <v>46296</v>
      </c>
      <c r="J164" s="138" t="s">
        <v>41</v>
      </c>
      <c r="K164" s="138" t="s">
        <v>42</v>
      </c>
      <c r="L164" s="87"/>
      <c r="M164" s="88"/>
      <c r="N164" s="77"/>
      <c r="O164" s="93"/>
    </row>
    <row r="165" spans="1:26" ht="16.5" customHeight="1">
      <c r="A165" s="137">
        <v>46296</v>
      </c>
      <c r="B165" s="79" t="s">
        <v>48</v>
      </c>
      <c r="C165" s="138" t="s">
        <v>59</v>
      </c>
      <c r="D165" s="85"/>
      <c r="E165" s="85">
        <v>37500</v>
      </c>
      <c r="F165" s="85"/>
      <c r="G165" s="82">
        <f>G164+Table_1[[#This Row],[수입]]-Table_1[[#This Row],[지출]]</f>
        <v>32228791</v>
      </c>
      <c r="H165" s="173" t="s">
        <v>414</v>
      </c>
      <c r="I165" s="137">
        <v>46296</v>
      </c>
      <c r="J165" s="138" t="s">
        <v>41</v>
      </c>
      <c r="K165" s="138" t="s">
        <v>42</v>
      </c>
      <c r="L165" s="87"/>
      <c r="M165" s="88"/>
      <c r="N165" s="77"/>
      <c r="O165" s="93"/>
    </row>
    <row r="166" spans="1:26" ht="16.5" customHeight="1">
      <c r="A166" s="137">
        <v>46296</v>
      </c>
      <c r="B166" s="79" t="s">
        <v>55</v>
      </c>
      <c r="C166" s="79" t="s">
        <v>56</v>
      </c>
      <c r="D166" s="85"/>
      <c r="E166" s="85">
        <v>21200</v>
      </c>
      <c r="F166" s="85"/>
      <c r="G166" s="82">
        <f>G165+Table_1[[#This Row],[수입]]-Table_1[[#This Row],[지출]]</f>
        <v>32207591</v>
      </c>
      <c r="H166" s="86" t="s">
        <v>415</v>
      </c>
      <c r="I166" s="137">
        <v>46296</v>
      </c>
      <c r="J166" s="138" t="s">
        <v>37</v>
      </c>
      <c r="K166" s="138" t="s">
        <v>24</v>
      </c>
      <c r="L166" s="87"/>
      <c r="M166" s="88"/>
      <c r="N166" s="77"/>
      <c r="O166" s="93"/>
    </row>
    <row r="167" spans="1:26" ht="16.5" customHeight="1">
      <c r="A167" s="137">
        <v>46296</v>
      </c>
      <c r="B167" s="79" t="s">
        <v>55</v>
      </c>
      <c r="C167" s="79" t="s">
        <v>56</v>
      </c>
      <c r="D167" s="85"/>
      <c r="E167" s="85">
        <v>204000</v>
      </c>
      <c r="F167" s="85"/>
      <c r="G167" s="82">
        <f>G166+Table_1[[#This Row],[수입]]-Table_1[[#This Row],[지출]]</f>
        <v>32003591</v>
      </c>
      <c r="H167" s="86" t="s">
        <v>415</v>
      </c>
      <c r="I167" s="137">
        <v>46296</v>
      </c>
      <c r="J167" s="138" t="s">
        <v>37</v>
      </c>
      <c r="K167" s="138" t="s">
        <v>24</v>
      </c>
      <c r="L167" s="87"/>
      <c r="M167" s="88"/>
      <c r="N167" s="77"/>
      <c r="O167" s="93"/>
    </row>
    <row r="168" spans="1:26" s="176" customFormat="1" ht="16.5" customHeight="1">
      <c r="A168" s="137">
        <v>46297</v>
      </c>
      <c r="B168" s="79" t="s">
        <v>48</v>
      </c>
      <c r="C168" s="138" t="s">
        <v>59</v>
      </c>
      <c r="D168" s="85"/>
      <c r="E168" s="85">
        <v>14700</v>
      </c>
      <c r="F168" s="85"/>
      <c r="G168" s="82">
        <f>G167+Table_1[[#This Row],[수입]]-Table_1[[#This Row],[지출]]</f>
        <v>31988891</v>
      </c>
      <c r="H168" s="86" t="s">
        <v>407</v>
      </c>
      <c r="I168" s="137">
        <v>46297</v>
      </c>
      <c r="J168" s="138" t="s">
        <v>23</v>
      </c>
      <c r="K168" s="138" t="s">
        <v>24</v>
      </c>
      <c r="L168" s="87"/>
      <c r="M168" s="88"/>
      <c r="N168" s="170"/>
      <c r="O168" s="174"/>
      <c r="P168" s="175"/>
      <c r="Q168" s="175"/>
      <c r="R168" s="175"/>
      <c r="S168" s="175"/>
      <c r="T168" s="175"/>
      <c r="U168" s="175"/>
      <c r="V168" s="175"/>
      <c r="W168" s="175"/>
      <c r="X168" s="175"/>
      <c r="Y168" s="175"/>
      <c r="Z168" s="175"/>
    </row>
    <row r="169" spans="1:26" ht="16.5" customHeight="1">
      <c r="A169" s="137">
        <v>46306</v>
      </c>
      <c r="B169" s="79" t="s">
        <v>48</v>
      </c>
      <c r="C169" s="79" t="s">
        <v>49</v>
      </c>
      <c r="D169" s="85"/>
      <c r="E169" s="85">
        <v>300000</v>
      </c>
      <c r="F169" s="85"/>
      <c r="G169" s="82">
        <f>G168+Table_1[[#This Row],[수입]]-Table_1[[#This Row],[지출]]</f>
        <v>31688891</v>
      </c>
      <c r="H169" s="86" t="s">
        <v>416</v>
      </c>
      <c r="I169" s="137">
        <v>46306</v>
      </c>
      <c r="J169" s="79" t="s">
        <v>418</v>
      </c>
      <c r="K169" s="79" t="s">
        <v>398</v>
      </c>
      <c r="L169" s="87"/>
      <c r="M169" s="88"/>
      <c r="N169" s="77"/>
      <c r="O169" s="93"/>
    </row>
    <row r="170" spans="1:26" ht="16.5" customHeight="1">
      <c r="A170" s="137">
        <v>46306</v>
      </c>
      <c r="B170" s="79" t="s">
        <v>48</v>
      </c>
      <c r="C170" s="79" t="s">
        <v>49</v>
      </c>
      <c r="D170" s="85"/>
      <c r="E170" s="85">
        <v>100000</v>
      </c>
      <c r="F170" s="85"/>
      <c r="G170" s="82">
        <f>G169+Table_1[[#This Row],[수입]]-Table_1[[#This Row],[지출]]</f>
        <v>31588891</v>
      </c>
      <c r="H170" s="86" t="s">
        <v>417</v>
      </c>
      <c r="I170" s="137">
        <v>46306</v>
      </c>
      <c r="J170" s="79" t="s">
        <v>41</v>
      </c>
      <c r="K170" s="79" t="s">
        <v>42</v>
      </c>
      <c r="L170" s="87"/>
      <c r="M170" s="88"/>
      <c r="N170" s="77"/>
      <c r="O170" s="93"/>
    </row>
    <row r="171" spans="1:26" ht="16.5" customHeight="1">
      <c r="A171" s="137">
        <v>46307</v>
      </c>
      <c r="B171" s="79" t="s">
        <v>48</v>
      </c>
      <c r="C171" s="138" t="s">
        <v>59</v>
      </c>
      <c r="D171" s="85"/>
      <c r="E171" s="85">
        <v>29500</v>
      </c>
      <c r="F171" s="85"/>
      <c r="G171" s="82">
        <f>G170+Table_1[[#This Row],[수입]]-Table_1[[#This Row],[지출]]</f>
        <v>31559391</v>
      </c>
      <c r="H171" s="86" t="s">
        <v>419</v>
      </c>
      <c r="I171" s="137">
        <v>46307</v>
      </c>
      <c r="J171" s="79" t="s">
        <v>41</v>
      </c>
      <c r="K171" s="79" t="s">
        <v>42</v>
      </c>
      <c r="L171" s="87"/>
      <c r="M171" s="88"/>
      <c r="N171" s="77"/>
      <c r="O171" s="93"/>
    </row>
    <row r="172" spans="1:26" ht="16.5" customHeight="1">
      <c r="A172" s="137">
        <v>46308</v>
      </c>
      <c r="B172" s="79" t="s">
        <v>48</v>
      </c>
      <c r="C172" s="138" t="s">
        <v>59</v>
      </c>
      <c r="D172" s="85"/>
      <c r="E172" s="85">
        <v>7800</v>
      </c>
      <c r="F172" s="85"/>
      <c r="G172" s="82">
        <f>G171+Table_1[[#This Row],[수입]]-Table_1[[#This Row],[지출]]</f>
        <v>31551591</v>
      </c>
      <c r="H172" s="86" t="s">
        <v>420</v>
      </c>
      <c r="I172" s="137">
        <v>46308</v>
      </c>
      <c r="J172" s="138" t="s">
        <v>23</v>
      </c>
      <c r="K172" s="138" t="s">
        <v>24</v>
      </c>
      <c r="L172" s="87"/>
      <c r="M172" s="88"/>
      <c r="N172" s="77"/>
      <c r="O172" s="93"/>
    </row>
    <row r="173" spans="1:26" s="176" customFormat="1" ht="16.5" customHeight="1">
      <c r="A173" s="137">
        <v>46308</v>
      </c>
      <c r="B173" s="79" t="s">
        <v>48</v>
      </c>
      <c r="C173" s="138" t="s">
        <v>59</v>
      </c>
      <c r="D173" s="85"/>
      <c r="E173" s="85">
        <v>5500</v>
      </c>
      <c r="F173" s="85"/>
      <c r="G173" s="82">
        <f>G172+Table_1[[#This Row],[수입]]-Table_1[[#This Row],[지출]]</f>
        <v>31546091</v>
      </c>
      <c r="H173" s="86" t="s">
        <v>400</v>
      </c>
      <c r="I173" s="137">
        <v>46308</v>
      </c>
      <c r="J173" s="79" t="s">
        <v>397</v>
      </c>
      <c r="K173" s="79" t="s">
        <v>398</v>
      </c>
      <c r="L173" s="87"/>
      <c r="M173" s="88"/>
      <c r="N173" s="170"/>
      <c r="O173" s="174"/>
      <c r="P173" s="175"/>
      <c r="Q173" s="175"/>
      <c r="R173" s="175"/>
      <c r="S173" s="175"/>
      <c r="T173" s="175"/>
      <c r="U173" s="175"/>
      <c r="V173" s="175"/>
      <c r="W173" s="175"/>
      <c r="X173" s="175"/>
      <c r="Y173" s="175"/>
      <c r="Z173" s="175"/>
    </row>
    <row r="174" spans="1:26" ht="16.5" customHeight="1">
      <c r="A174" s="137">
        <v>46309</v>
      </c>
      <c r="B174" s="79" t="s">
        <v>48</v>
      </c>
      <c r="C174" s="138" t="s">
        <v>59</v>
      </c>
      <c r="D174" s="85"/>
      <c r="E174" s="85">
        <v>60800</v>
      </c>
      <c r="F174" s="85"/>
      <c r="G174" s="82">
        <f>G173+Table_1[[#This Row],[수입]]-Table_1[[#This Row],[지출]]</f>
        <v>31485291</v>
      </c>
      <c r="H174" s="86" t="s">
        <v>421</v>
      </c>
      <c r="I174" s="137">
        <v>46309</v>
      </c>
      <c r="J174" s="138" t="s">
        <v>23</v>
      </c>
      <c r="K174" s="138" t="s">
        <v>24</v>
      </c>
      <c r="L174" s="87"/>
      <c r="M174" s="88"/>
      <c r="N174" s="77"/>
      <c r="O174" s="93"/>
    </row>
    <row r="175" spans="1:26" ht="16.5" customHeight="1">
      <c r="A175" s="137">
        <v>46309</v>
      </c>
      <c r="B175" s="79" t="s">
        <v>48</v>
      </c>
      <c r="C175" s="138" t="s">
        <v>59</v>
      </c>
      <c r="D175" s="85"/>
      <c r="E175" s="85">
        <v>31400</v>
      </c>
      <c r="F175" s="85"/>
      <c r="G175" s="82">
        <f>G174+Table_1[[#This Row],[수입]]-Table_1[[#This Row],[지출]]</f>
        <v>31453891</v>
      </c>
      <c r="H175" s="86" t="s">
        <v>402</v>
      </c>
      <c r="I175" s="137">
        <v>46309</v>
      </c>
      <c r="J175" s="79" t="s">
        <v>41</v>
      </c>
      <c r="K175" s="79" t="s">
        <v>42</v>
      </c>
      <c r="L175" s="87"/>
      <c r="M175" s="88"/>
      <c r="N175" s="77"/>
      <c r="O175" s="93"/>
    </row>
    <row r="176" spans="1:26" ht="16.5" customHeight="1">
      <c r="A176" s="137">
        <v>46311</v>
      </c>
      <c r="B176" s="79" t="s">
        <v>48</v>
      </c>
      <c r="C176" s="138" t="s">
        <v>59</v>
      </c>
      <c r="D176" s="85"/>
      <c r="E176" s="85">
        <v>18700</v>
      </c>
      <c r="F176" s="85"/>
      <c r="G176" s="82">
        <f>G175+Table_1[[#This Row],[수입]]-Table_1[[#This Row],[지출]]</f>
        <v>31435191</v>
      </c>
      <c r="H176" s="86" t="s">
        <v>422</v>
      </c>
      <c r="I176" s="137">
        <v>46311</v>
      </c>
      <c r="J176" s="79" t="s">
        <v>41</v>
      </c>
      <c r="K176" s="79" t="s">
        <v>42</v>
      </c>
      <c r="L176" s="87"/>
      <c r="M176" s="88"/>
      <c r="N176" s="77"/>
      <c r="O176" s="93"/>
    </row>
    <row r="177" spans="1:26" s="176" customFormat="1" ht="16.5" customHeight="1">
      <c r="A177" s="137">
        <v>46311</v>
      </c>
      <c r="B177" s="79" t="s">
        <v>48</v>
      </c>
      <c r="C177" s="138" t="s">
        <v>59</v>
      </c>
      <c r="D177" s="85"/>
      <c r="E177" s="85">
        <v>22000</v>
      </c>
      <c r="F177" s="85"/>
      <c r="G177" s="82">
        <f>G176+Table_1[[#This Row],[수입]]-Table_1[[#This Row],[지출]]</f>
        <v>31413191</v>
      </c>
      <c r="H177" s="86" t="s">
        <v>424</v>
      </c>
      <c r="I177" s="137">
        <v>46311</v>
      </c>
      <c r="J177" s="138" t="s">
        <v>37</v>
      </c>
      <c r="K177" s="138" t="s">
        <v>24</v>
      </c>
      <c r="L177" s="87"/>
      <c r="M177" s="88"/>
      <c r="N177" s="170"/>
      <c r="O177" s="174"/>
      <c r="P177" s="175"/>
      <c r="Q177" s="175"/>
      <c r="R177" s="175"/>
      <c r="S177" s="175"/>
      <c r="T177" s="175"/>
      <c r="U177" s="175"/>
      <c r="V177" s="175"/>
      <c r="W177" s="175"/>
      <c r="X177" s="175"/>
      <c r="Y177" s="175"/>
      <c r="Z177" s="175"/>
    </row>
    <row r="178" spans="1:26" ht="16.5" customHeight="1">
      <c r="A178" s="137">
        <v>46314</v>
      </c>
      <c r="B178" s="79" t="s">
        <v>48</v>
      </c>
      <c r="C178" s="138" t="s">
        <v>59</v>
      </c>
      <c r="D178" s="85"/>
      <c r="E178" s="85">
        <v>12800</v>
      </c>
      <c r="F178" s="85"/>
      <c r="G178" s="82">
        <f>G177+Table_1[[#This Row],[수입]]-Table_1[[#This Row],[지출]]</f>
        <v>31400391</v>
      </c>
      <c r="H178" s="86" t="s">
        <v>423</v>
      </c>
      <c r="I178" s="137">
        <v>46314</v>
      </c>
      <c r="J178" s="79" t="s">
        <v>41</v>
      </c>
      <c r="K178" s="79" t="s">
        <v>42</v>
      </c>
      <c r="L178" s="87"/>
      <c r="M178" s="88"/>
      <c r="N178" s="77"/>
      <c r="O178" s="93"/>
    </row>
    <row r="179" spans="1:26" ht="16.5" customHeight="1">
      <c r="A179" s="137">
        <v>46315</v>
      </c>
      <c r="B179" s="79" t="s">
        <v>48</v>
      </c>
      <c r="C179" s="138" t="s">
        <v>59</v>
      </c>
      <c r="D179" s="85"/>
      <c r="E179" s="85">
        <v>8400</v>
      </c>
      <c r="F179" s="85"/>
      <c r="G179" s="82">
        <f>G178+Table_1[[#This Row],[수입]]-Table_1[[#This Row],[지출]]</f>
        <v>31391991</v>
      </c>
      <c r="H179" s="86" t="s">
        <v>425</v>
      </c>
      <c r="I179" s="137">
        <v>46315</v>
      </c>
      <c r="J179" s="138" t="s">
        <v>37</v>
      </c>
      <c r="K179" s="138" t="s">
        <v>24</v>
      </c>
      <c r="L179" s="87"/>
      <c r="M179" s="88"/>
      <c r="N179" s="77"/>
      <c r="O179" s="93"/>
    </row>
    <row r="180" spans="1:26" ht="16.5" customHeight="1">
      <c r="A180" s="137">
        <v>46315</v>
      </c>
      <c r="B180" s="79" t="s">
        <v>48</v>
      </c>
      <c r="C180" s="79" t="s">
        <v>49</v>
      </c>
      <c r="D180" s="85"/>
      <c r="E180" s="85">
        <v>200000</v>
      </c>
      <c r="F180" s="85"/>
      <c r="G180" s="82">
        <f>G179+Table_1[[#This Row],[수입]]-Table_1[[#This Row],[지출]]</f>
        <v>31191991</v>
      </c>
      <c r="H180" s="86" t="s">
        <v>426</v>
      </c>
      <c r="I180" s="137">
        <v>46315</v>
      </c>
      <c r="J180" s="79" t="s">
        <v>427</v>
      </c>
      <c r="K180" s="79" t="s">
        <v>428</v>
      </c>
      <c r="L180" s="87"/>
      <c r="M180" s="88"/>
      <c r="N180" s="77"/>
    </row>
    <row r="181" spans="1:26" s="176" customFormat="1" ht="16.5" customHeight="1">
      <c r="A181" s="137">
        <v>46315</v>
      </c>
      <c r="B181" s="79" t="s">
        <v>48</v>
      </c>
      <c r="C181" s="138" t="s">
        <v>59</v>
      </c>
      <c r="D181" s="85"/>
      <c r="E181" s="85">
        <v>12300</v>
      </c>
      <c r="F181" s="85"/>
      <c r="G181" s="82">
        <f>G180+Table_1[[#This Row],[수입]]-Table_1[[#This Row],[지출]]</f>
        <v>31179691</v>
      </c>
      <c r="H181" s="86" t="s">
        <v>399</v>
      </c>
      <c r="I181" s="137">
        <v>46315</v>
      </c>
      <c r="J181" s="138" t="s">
        <v>23</v>
      </c>
      <c r="K181" s="138" t="s">
        <v>24</v>
      </c>
      <c r="L181" s="87"/>
      <c r="M181" s="88"/>
      <c r="N181" s="170"/>
      <c r="O181" s="175"/>
      <c r="P181" s="175"/>
      <c r="Q181" s="175"/>
      <c r="R181" s="175"/>
      <c r="S181" s="175"/>
      <c r="T181" s="175"/>
      <c r="U181" s="175"/>
      <c r="V181" s="175"/>
      <c r="W181" s="175"/>
      <c r="X181" s="175"/>
      <c r="Y181" s="175"/>
      <c r="Z181" s="175"/>
    </row>
    <row r="182" spans="1:26" s="176" customFormat="1" ht="16.5" customHeight="1">
      <c r="A182" s="137">
        <v>46316</v>
      </c>
      <c r="B182" s="79" t="s">
        <v>48</v>
      </c>
      <c r="C182" s="138" t="s">
        <v>59</v>
      </c>
      <c r="D182" s="85"/>
      <c r="E182" s="85">
        <v>18000</v>
      </c>
      <c r="F182" s="85"/>
      <c r="G182" s="82">
        <f>G181+Table_1[[#This Row],[수입]]-Table_1[[#This Row],[지출]]</f>
        <v>31161691</v>
      </c>
      <c r="H182" s="86" t="s">
        <v>429</v>
      </c>
      <c r="I182" s="137">
        <v>46316</v>
      </c>
      <c r="J182" s="79" t="s">
        <v>41</v>
      </c>
      <c r="K182" s="79" t="s">
        <v>42</v>
      </c>
      <c r="L182" s="87"/>
      <c r="M182" s="88"/>
      <c r="N182" s="170"/>
      <c r="O182" s="175"/>
      <c r="P182" s="175"/>
      <c r="Q182" s="175"/>
      <c r="R182" s="175"/>
      <c r="S182" s="175"/>
      <c r="T182" s="175"/>
      <c r="U182" s="175"/>
      <c r="V182" s="175"/>
      <c r="W182" s="175"/>
      <c r="X182" s="175"/>
      <c r="Y182" s="175"/>
      <c r="Z182" s="175"/>
    </row>
    <row r="183" spans="1:26" s="176" customFormat="1" ht="16.5" customHeight="1">
      <c r="A183" s="137">
        <v>46316</v>
      </c>
      <c r="B183" s="79" t="s">
        <v>48</v>
      </c>
      <c r="C183" s="138" t="s">
        <v>59</v>
      </c>
      <c r="D183" s="85"/>
      <c r="E183" s="85">
        <v>112000</v>
      </c>
      <c r="F183" s="85"/>
      <c r="G183" s="82">
        <f>G182+Table_1[[#This Row],[수입]]-Table_1[[#This Row],[지출]]</f>
        <v>31049691</v>
      </c>
      <c r="H183" s="86" t="s">
        <v>430</v>
      </c>
      <c r="I183" s="137">
        <v>46316</v>
      </c>
      <c r="J183" s="79" t="s">
        <v>41</v>
      </c>
      <c r="K183" s="79" t="s">
        <v>42</v>
      </c>
      <c r="L183" s="87"/>
      <c r="M183" s="88"/>
      <c r="N183" s="170"/>
      <c r="O183" s="175"/>
      <c r="P183" s="175"/>
      <c r="Q183" s="175"/>
      <c r="R183" s="175"/>
      <c r="S183" s="175"/>
      <c r="T183" s="175"/>
      <c r="U183" s="175"/>
      <c r="V183" s="175"/>
      <c r="W183" s="175"/>
      <c r="X183" s="175"/>
      <c r="Y183" s="175"/>
      <c r="Z183" s="175"/>
    </row>
    <row r="184" spans="1:26" s="176" customFormat="1" ht="16.5" customHeight="1">
      <c r="A184" s="137">
        <v>46316</v>
      </c>
      <c r="B184" s="79" t="s">
        <v>55</v>
      </c>
      <c r="C184" s="138" t="s">
        <v>56</v>
      </c>
      <c r="D184" s="85"/>
      <c r="E184" s="85">
        <v>81000</v>
      </c>
      <c r="F184" s="85"/>
      <c r="G184" s="82">
        <f>G183+Table_1[[#This Row],[수입]]-Table_1[[#This Row],[지출]]</f>
        <v>30968691</v>
      </c>
      <c r="H184" s="86" t="s">
        <v>407</v>
      </c>
      <c r="I184" s="137">
        <v>46316</v>
      </c>
      <c r="J184" s="138" t="s">
        <v>23</v>
      </c>
      <c r="K184" s="138" t="s">
        <v>24</v>
      </c>
      <c r="L184" s="87"/>
      <c r="M184" s="88"/>
      <c r="N184" s="170"/>
      <c r="O184" s="175"/>
      <c r="P184" s="175"/>
      <c r="Q184" s="175"/>
      <c r="R184" s="175"/>
      <c r="S184" s="175"/>
      <c r="T184" s="175"/>
      <c r="U184" s="175"/>
      <c r="V184" s="175"/>
      <c r="W184" s="175"/>
      <c r="X184" s="175"/>
      <c r="Y184" s="175"/>
      <c r="Z184" s="175"/>
    </row>
    <row r="185" spans="1:26" s="176" customFormat="1" ht="16.5" customHeight="1">
      <c r="A185" s="137">
        <v>46317</v>
      </c>
      <c r="B185" s="79" t="s">
        <v>48</v>
      </c>
      <c r="C185" s="138" t="s">
        <v>59</v>
      </c>
      <c r="D185" s="85"/>
      <c r="E185" s="85">
        <v>10700</v>
      </c>
      <c r="F185" s="85"/>
      <c r="G185" s="82">
        <f>G184+Table_1[[#This Row],[수입]]-Table_1[[#This Row],[지출]]</f>
        <v>30957991</v>
      </c>
      <c r="H185" s="86" t="s">
        <v>431</v>
      </c>
      <c r="I185" s="137">
        <v>46317</v>
      </c>
      <c r="J185" s="138" t="s">
        <v>23</v>
      </c>
      <c r="K185" s="138" t="s">
        <v>24</v>
      </c>
      <c r="L185" s="87"/>
      <c r="M185" s="88"/>
      <c r="N185" s="170"/>
      <c r="O185" s="175"/>
      <c r="P185" s="175"/>
      <c r="Q185" s="175"/>
      <c r="R185" s="175"/>
      <c r="S185" s="175"/>
      <c r="T185" s="175"/>
      <c r="U185" s="175"/>
      <c r="V185" s="175"/>
      <c r="W185" s="175"/>
      <c r="X185" s="175"/>
      <c r="Y185" s="175"/>
      <c r="Z185" s="175"/>
    </row>
    <row r="186" spans="1:26" s="176" customFormat="1" ht="16.5" customHeight="1">
      <c r="A186" s="137">
        <v>46318</v>
      </c>
      <c r="B186" s="79" t="s">
        <v>55</v>
      </c>
      <c r="C186" s="138" t="s">
        <v>56</v>
      </c>
      <c r="D186" s="85"/>
      <c r="E186" s="85">
        <v>33300</v>
      </c>
      <c r="F186" s="85"/>
      <c r="G186" s="82">
        <f>G185+Table_1[[#This Row],[수입]]-Table_1[[#This Row],[지출]]</f>
        <v>30924691</v>
      </c>
      <c r="H186" s="86" t="s">
        <v>432</v>
      </c>
      <c r="I186" s="137">
        <v>46318</v>
      </c>
      <c r="J186" s="138" t="s">
        <v>23</v>
      </c>
      <c r="K186" s="138" t="s">
        <v>24</v>
      </c>
      <c r="L186" s="87"/>
      <c r="M186" s="88"/>
      <c r="N186" s="170"/>
      <c r="O186" s="175"/>
      <c r="P186" s="175"/>
      <c r="Q186" s="175"/>
      <c r="R186" s="175"/>
      <c r="S186" s="175"/>
      <c r="T186" s="175"/>
      <c r="U186" s="175"/>
      <c r="V186" s="175"/>
      <c r="W186" s="175"/>
      <c r="X186" s="175"/>
      <c r="Y186" s="175"/>
      <c r="Z186" s="175"/>
    </row>
    <row r="187" spans="1:26" s="176" customFormat="1" ht="16.5" customHeight="1">
      <c r="A187" s="137"/>
      <c r="B187" s="79"/>
      <c r="C187" s="138"/>
      <c r="D187" s="85"/>
      <c r="E187" s="85"/>
      <c r="F187" s="85"/>
      <c r="G187" s="82"/>
      <c r="H187" s="86"/>
      <c r="I187" s="137"/>
      <c r="J187" s="79"/>
      <c r="K187" s="79"/>
      <c r="L187" s="87"/>
      <c r="M187" s="88"/>
      <c r="N187" s="170"/>
      <c r="O187" s="175"/>
      <c r="P187" s="175"/>
      <c r="Q187" s="175"/>
      <c r="R187" s="175"/>
      <c r="S187" s="175"/>
      <c r="T187" s="175"/>
      <c r="U187" s="175"/>
      <c r="V187" s="175"/>
      <c r="W187" s="175"/>
      <c r="X187" s="175"/>
      <c r="Y187" s="175"/>
      <c r="Z187" s="175"/>
    </row>
    <row r="188" spans="1:26" s="176" customFormat="1" ht="16.5" customHeight="1">
      <c r="A188" s="137"/>
      <c r="B188" s="79"/>
      <c r="C188" s="138"/>
      <c r="D188" s="85"/>
      <c r="E188" s="85"/>
      <c r="F188" s="85"/>
      <c r="G188" s="82"/>
      <c r="H188" s="86"/>
      <c r="I188" s="137"/>
      <c r="J188" s="79"/>
      <c r="K188" s="79"/>
      <c r="L188" s="87"/>
      <c r="M188" s="88"/>
      <c r="N188" s="170"/>
      <c r="O188" s="175"/>
      <c r="P188" s="175"/>
      <c r="Q188" s="175"/>
      <c r="R188" s="175"/>
      <c r="S188" s="175"/>
      <c r="T188" s="175"/>
      <c r="U188" s="175"/>
      <c r="V188" s="175"/>
      <c r="W188" s="175"/>
      <c r="X188" s="175"/>
      <c r="Y188" s="175"/>
      <c r="Z188" s="175"/>
    </row>
    <row r="189" spans="1:26" s="176" customFormat="1" ht="16.5" customHeight="1">
      <c r="A189" s="137"/>
      <c r="B189" s="79"/>
      <c r="C189" s="138"/>
      <c r="D189" s="85"/>
      <c r="E189" s="85"/>
      <c r="F189" s="85"/>
      <c r="G189" s="82"/>
      <c r="H189" s="86"/>
      <c r="I189" s="137"/>
      <c r="J189" s="79"/>
      <c r="K189" s="79"/>
      <c r="L189" s="87"/>
      <c r="M189" s="88"/>
      <c r="N189" s="170"/>
      <c r="O189" s="175"/>
      <c r="P189" s="175"/>
      <c r="Q189" s="175"/>
      <c r="R189" s="175"/>
      <c r="S189" s="175"/>
      <c r="T189" s="175"/>
      <c r="U189" s="175"/>
      <c r="V189" s="175"/>
      <c r="W189" s="175"/>
      <c r="X189" s="175"/>
      <c r="Y189" s="175"/>
      <c r="Z189" s="175"/>
    </row>
    <row r="190" spans="1:26" s="176" customFormat="1" ht="16.5" customHeight="1">
      <c r="A190" s="137"/>
      <c r="B190" s="79"/>
      <c r="C190" s="138"/>
      <c r="D190" s="85"/>
      <c r="E190" s="85"/>
      <c r="F190" s="85"/>
      <c r="G190" s="82"/>
      <c r="H190" s="86"/>
      <c r="I190" s="137"/>
      <c r="J190" s="79"/>
      <c r="K190" s="79"/>
      <c r="L190" s="87"/>
      <c r="M190" s="88"/>
      <c r="N190" s="170"/>
      <c r="O190" s="175"/>
      <c r="P190" s="175"/>
      <c r="Q190" s="175"/>
      <c r="R190" s="175"/>
      <c r="S190" s="175"/>
      <c r="T190" s="175"/>
      <c r="U190" s="175"/>
      <c r="V190" s="175"/>
      <c r="W190" s="175"/>
      <c r="X190" s="175"/>
      <c r="Y190" s="175"/>
      <c r="Z190" s="175"/>
    </row>
    <row r="191" spans="1:26" s="176" customFormat="1" ht="16.5" customHeight="1">
      <c r="A191" s="137"/>
      <c r="B191" s="79"/>
      <c r="C191" s="80"/>
      <c r="D191" s="85"/>
      <c r="E191" s="85"/>
      <c r="F191" s="85"/>
      <c r="G191" s="82"/>
      <c r="H191" s="86"/>
      <c r="I191" s="137"/>
      <c r="J191" s="79"/>
      <c r="K191" s="79"/>
      <c r="L191" s="87"/>
      <c r="M191" s="88"/>
      <c r="N191" s="170"/>
      <c r="O191" s="175"/>
      <c r="P191" s="175"/>
      <c r="Q191" s="175"/>
      <c r="R191" s="175"/>
      <c r="S191" s="175"/>
      <c r="T191" s="175"/>
      <c r="U191" s="175"/>
      <c r="V191" s="175"/>
      <c r="W191" s="175"/>
      <c r="X191" s="175"/>
      <c r="Y191" s="175"/>
      <c r="Z191" s="175"/>
    </row>
    <row r="192" spans="1:26" ht="16.5" customHeight="1">
      <c r="A192" s="137"/>
      <c r="B192" s="79"/>
      <c r="C192" s="80"/>
      <c r="D192" s="85"/>
      <c r="E192" s="85"/>
      <c r="F192" s="85"/>
      <c r="G192" s="82"/>
      <c r="H192" s="86"/>
      <c r="I192" s="137"/>
      <c r="J192" s="79"/>
      <c r="K192" s="79"/>
      <c r="L192" s="87"/>
      <c r="M192" s="88"/>
      <c r="N192" s="77"/>
    </row>
    <row r="193" spans="1:14" ht="16.5" customHeight="1">
      <c r="D193" s="75"/>
      <c r="E193" s="75"/>
      <c r="F193" s="75"/>
      <c r="G193" s="75"/>
      <c r="L193" s="76"/>
      <c r="N193" s="77"/>
    </row>
    <row r="194" spans="1:14" ht="16.5" customHeight="1">
      <c r="A194" s="177" t="s">
        <v>48</v>
      </c>
      <c r="B194" s="177" t="s">
        <v>219</v>
      </c>
      <c r="C194" s="177" t="s">
        <v>238</v>
      </c>
      <c r="D194" s="177" t="s">
        <v>222</v>
      </c>
      <c r="E194" s="177" t="s">
        <v>55</v>
      </c>
      <c r="F194" s="177" t="s">
        <v>239</v>
      </c>
      <c r="G194" s="177" t="s">
        <v>4</v>
      </c>
      <c r="H194" s="177" t="s">
        <v>19</v>
      </c>
      <c r="J194" s="119" t="s">
        <v>240</v>
      </c>
      <c r="K194" s="119" t="s">
        <v>241</v>
      </c>
      <c r="N194" s="77"/>
    </row>
    <row r="195" spans="1:14" ht="16.5" customHeight="1">
      <c r="A195" s="94" t="s">
        <v>49</v>
      </c>
      <c r="B195" s="94" t="s">
        <v>242</v>
      </c>
      <c r="C195" s="94" t="s">
        <v>243</v>
      </c>
      <c r="D195" s="94" t="s">
        <v>223</v>
      </c>
      <c r="E195" s="94" t="s">
        <v>244</v>
      </c>
      <c r="F195" s="94" t="s">
        <v>245</v>
      </c>
      <c r="G195" s="94" t="s">
        <v>17</v>
      </c>
      <c r="H195" s="94" t="s">
        <v>20</v>
      </c>
      <c r="K195" s="119" t="s">
        <v>246</v>
      </c>
      <c r="N195" s="77"/>
    </row>
    <row r="196" spans="1:14" ht="16.5" customHeight="1">
      <c r="A196" s="94" t="s">
        <v>247</v>
      </c>
      <c r="B196" s="94" t="s">
        <v>220</v>
      </c>
      <c r="C196" s="94" t="s">
        <v>248</v>
      </c>
      <c r="D196" s="94" t="s">
        <v>249</v>
      </c>
      <c r="E196" s="94" t="s">
        <v>56</v>
      </c>
      <c r="F196" s="94" t="s">
        <v>250</v>
      </c>
      <c r="G196" s="94" t="s">
        <v>251</v>
      </c>
      <c r="H196" s="94" t="s">
        <v>49</v>
      </c>
      <c r="N196" s="77"/>
    </row>
    <row r="197" spans="1:14" ht="16.5" customHeight="1">
      <c r="A197" s="94" t="s">
        <v>104</v>
      </c>
      <c r="B197" s="94" t="s">
        <v>252</v>
      </c>
      <c r="E197" s="94" t="s">
        <v>253</v>
      </c>
      <c r="F197" s="94" t="s">
        <v>254</v>
      </c>
      <c r="G197" s="94" t="s">
        <v>15</v>
      </c>
      <c r="H197" s="94" t="s">
        <v>59</v>
      </c>
      <c r="N197" s="77"/>
    </row>
    <row r="198" spans="1:14" ht="16.5" customHeight="1">
      <c r="A198" s="94" t="s">
        <v>255</v>
      </c>
      <c r="E198" s="94" t="s">
        <v>256</v>
      </c>
      <c r="G198" s="94" t="s">
        <v>234</v>
      </c>
      <c r="N198" s="77"/>
    </row>
    <row r="199" spans="1:14" ht="16.5" customHeight="1">
      <c r="A199" s="94" t="s">
        <v>257</v>
      </c>
      <c r="D199" s="76"/>
      <c r="G199" s="94" t="s">
        <v>258</v>
      </c>
      <c r="N199" s="77"/>
    </row>
    <row r="200" spans="1:14" ht="16.5" customHeight="1">
      <c r="A200" s="94" t="s">
        <v>59</v>
      </c>
      <c r="D200" s="76"/>
      <c r="G200" s="94" t="s">
        <v>162</v>
      </c>
      <c r="N200" s="77"/>
    </row>
    <row r="201" spans="1:14" ht="16.5" customHeight="1">
      <c r="A201" s="94" t="s">
        <v>259</v>
      </c>
      <c r="D201" s="76"/>
      <c r="G201" s="94" t="s">
        <v>260</v>
      </c>
      <c r="N201" s="77"/>
    </row>
    <row r="202" spans="1:14" ht="16.5" customHeight="1">
      <c r="A202" s="94" t="s">
        <v>261</v>
      </c>
      <c r="D202" s="76"/>
      <c r="N202" s="77"/>
    </row>
    <row r="203" spans="1:14" ht="16.5" customHeight="1">
      <c r="A203" s="94" t="s">
        <v>262</v>
      </c>
      <c r="D203" s="76"/>
      <c r="N203" s="77"/>
    </row>
    <row r="204" spans="1:14" ht="16.5" customHeight="1">
      <c r="A204" s="94" t="s">
        <v>260</v>
      </c>
      <c r="D204" s="76"/>
      <c r="N204" s="77"/>
    </row>
    <row r="205" spans="1:14" ht="16.5" customHeight="1">
      <c r="A205" s="94" t="s">
        <v>263</v>
      </c>
      <c r="D205" s="76"/>
      <c r="N205" s="77"/>
    </row>
    <row r="206" spans="1:14" ht="16.5" customHeight="1">
      <c r="A206" s="94" t="s">
        <v>19</v>
      </c>
      <c r="D206" s="76"/>
      <c r="N206" s="77"/>
    </row>
    <row r="207" spans="1:14" ht="16.5" customHeight="1">
      <c r="D207" s="75"/>
      <c r="E207" s="75"/>
      <c r="F207" s="75"/>
      <c r="G207" s="75"/>
      <c r="L207" s="76"/>
      <c r="N207" s="77"/>
    </row>
    <row r="208" spans="1:14" ht="16.5" customHeight="1">
      <c r="D208" s="75"/>
      <c r="E208" s="95" t="s">
        <v>264</v>
      </c>
      <c r="F208" s="95"/>
      <c r="G208" s="95" t="s">
        <v>7</v>
      </c>
      <c r="L208" s="76"/>
      <c r="N208" s="77"/>
    </row>
    <row r="209" spans="1:14" ht="16.5" customHeight="1">
      <c r="A209" s="68" t="s">
        <v>49</v>
      </c>
      <c r="B209" s="34" t="s">
        <v>49</v>
      </c>
      <c r="C209" s="35" t="s">
        <v>49</v>
      </c>
      <c r="D209" s="59">
        <v>3300000</v>
      </c>
      <c r="E209" s="75">
        <f>SUMIF(Table_1[내용 및 목적],"경조금",Table_1[지출])</f>
        <v>1400000</v>
      </c>
      <c r="F209" s="267">
        <f t="shared" ref="F209:F227" si="0">D209-E209</f>
        <v>1900000</v>
      </c>
      <c r="G209" s="179"/>
      <c r="L209" s="76"/>
      <c r="N209" s="77"/>
    </row>
    <row r="210" spans="1:14" ht="16.5" customHeight="1">
      <c r="A210" s="255" t="s">
        <v>265</v>
      </c>
      <c r="B210" s="34" t="s">
        <v>266</v>
      </c>
      <c r="C210" s="35" t="s">
        <v>247</v>
      </c>
      <c r="D210" s="59">
        <f>214200*3*3</f>
        <v>1927800</v>
      </c>
      <c r="E210" s="75">
        <f>SUMIF(Table_1[내용 및 목적],"국내여비",Table_1[지출])</f>
        <v>0</v>
      </c>
      <c r="F210" s="267">
        <f t="shared" si="0"/>
        <v>1927800</v>
      </c>
      <c r="G210" s="179"/>
      <c r="L210" s="76"/>
      <c r="N210" s="77"/>
    </row>
    <row r="211" spans="1:14" ht="16.5" customHeight="1">
      <c r="A211" s="258"/>
      <c r="B211" s="257" t="s">
        <v>267</v>
      </c>
      <c r="C211" s="35" t="s">
        <v>104</v>
      </c>
      <c r="D211" s="59">
        <f>5000*9*12</f>
        <v>540000</v>
      </c>
      <c r="E211" s="75">
        <f>SUMIF(Table_1[내용 및 목적],"운영위원회의비",Table_1[지출])</f>
        <v>166000</v>
      </c>
      <c r="F211" s="267">
        <f t="shared" si="0"/>
        <v>374000</v>
      </c>
      <c r="G211" s="179"/>
      <c r="L211" s="76"/>
      <c r="N211" s="77"/>
    </row>
    <row r="212" spans="1:14" ht="16.5" customHeight="1">
      <c r="A212" s="258"/>
      <c r="B212" s="258"/>
      <c r="C212" s="35" t="s">
        <v>255</v>
      </c>
      <c r="D212" s="59">
        <v>1000000</v>
      </c>
      <c r="E212" s="75">
        <f>SUMIF(Table_1[내용 및 목적],"대의원선거비",Table_1[지출])</f>
        <v>0</v>
      </c>
      <c r="F212" s="267">
        <f t="shared" si="0"/>
        <v>1000000</v>
      </c>
      <c r="G212" s="179"/>
      <c r="L212" s="76"/>
      <c r="N212" s="77"/>
    </row>
    <row r="213" spans="1:14" ht="16.5" customHeight="1">
      <c r="A213" s="258"/>
      <c r="B213" s="258"/>
      <c r="C213" s="35" t="s">
        <v>244</v>
      </c>
      <c r="D213" s="59">
        <f>50000*8</f>
        <v>400000</v>
      </c>
      <c r="E213" s="75">
        <f>SUMIF(Table_1[내용 및 목적],"조직부회의비",Table_1[지출])</f>
        <v>376000</v>
      </c>
      <c r="F213" s="267">
        <f t="shared" si="0"/>
        <v>24000</v>
      </c>
      <c r="G213" s="179"/>
      <c r="L213" s="76"/>
      <c r="N213" s="77"/>
    </row>
    <row r="214" spans="1:14" ht="16.5" customHeight="1">
      <c r="A214" s="258"/>
      <c r="B214" s="258"/>
      <c r="C214" s="35" t="s">
        <v>223</v>
      </c>
      <c r="D214" s="59">
        <f>50000*4</f>
        <v>200000</v>
      </c>
      <c r="E214" s="75">
        <f>SUMIF(Table_1[내용 및 목적],"정책부회의비",Table_1[지출])</f>
        <v>135000</v>
      </c>
      <c r="F214" s="267">
        <f t="shared" si="0"/>
        <v>65000</v>
      </c>
      <c r="G214" s="179"/>
      <c r="L214" s="76"/>
      <c r="N214" s="77"/>
    </row>
    <row r="215" spans="1:14" ht="16.5" customHeight="1">
      <c r="A215" s="258"/>
      <c r="B215" s="258"/>
      <c r="C215" s="35" t="s">
        <v>243</v>
      </c>
      <c r="D215" s="59">
        <v>200000</v>
      </c>
      <c r="E215" s="75">
        <f>SUMIF(Table_1[내용 및 목적],"대협회의비",Table_1[지출])</f>
        <v>0</v>
      </c>
      <c r="F215" s="267">
        <f t="shared" si="0"/>
        <v>200000</v>
      </c>
      <c r="G215" s="179"/>
      <c r="L215" s="76"/>
      <c r="N215" s="77"/>
    </row>
    <row r="216" spans="1:14" ht="16.5" customHeight="1">
      <c r="A216" s="258"/>
      <c r="B216" s="208"/>
      <c r="C216" s="35" t="s">
        <v>220</v>
      </c>
      <c r="D216" s="59">
        <v>200000</v>
      </c>
      <c r="E216" s="75">
        <f>SUMIF(Table_1[내용 및 목적],"교선회의비",Table_1[지출])</f>
        <v>135000</v>
      </c>
      <c r="F216" s="267">
        <f t="shared" si="0"/>
        <v>65000</v>
      </c>
      <c r="G216" s="179"/>
      <c r="L216" s="76"/>
      <c r="N216" s="77"/>
    </row>
    <row r="217" spans="1:14" ht="16.5" customHeight="1">
      <c r="A217" s="208"/>
      <c r="B217" s="34" t="s">
        <v>268</v>
      </c>
      <c r="C217" s="35" t="s">
        <v>257</v>
      </c>
      <c r="D217" s="59">
        <v>0</v>
      </c>
      <c r="E217" s="75">
        <f>SUMIF(Table_1[내용 및 목적],"사무용품비",Table_1[지출])</f>
        <v>0</v>
      </c>
      <c r="F217" s="267">
        <f t="shared" si="0"/>
        <v>0</v>
      </c>
      <c r="G217" s="179"/>
      <c r="L217" s="76"/>
      <c r="N217" s="77"/>
    </row>
    <row r="218" spans="1:14" ht="16.5" customHeight="1">
      <c r="A218" s="255" t="s">
        <v>269</v>
      </c>
      <c r="B218" s="34" t="s">
        <v>270</v>
      </c>
      <c r="C218" s="47" t="s">
        <v>59</v>
      </c>
      <c r="D218" s="59">
        <f>300000*12</f>
        <v>3600000</v>
      </c>
      <c r="E218" s="75">
        <f>SUMIF(Table_1[내용 및 목적],"의장단활동비",Table_1[지출])</f>
        <v>3585660</v>
      </c>
      <c r="F218" s="267">
        <f t="shared" si="0"/>
        <v>14340</v>
      </c>
      <c r="G218" s="179"/>
      <c r="L218" s="76"/>
      <c r="N218" s="77"/>
    </row>
    <row r="219" spans="1:14" ht="16.5" customHeight="1">
      <c r="A219" s="258"/>
      <c r="B219" s="257" t="s">
        <v>271</v>
      </c>
      <c r="C219" s="47" t="s">
        <v>56</v>
      </c>
      <c r="D219" s="59">
        <v>8000000</v>
      </c>
      <c r="E219" s="75">
        <f>SUMIF(Table_1[내용 및 목적],"조직활동비",Table_1[지출])</f>
        <v>3462000</v>
      </c>
      <c r="F219" s="267">
        <f t="shared" si="0"/>
        <v>4538000</v>
      </c>
      <c r="G219" s="179"/>
      <c r="L219" s="76"/>
      <c r="N219" s="77"/>
    </row>
    <row r="220" spans="1:14" ht="16.5" customHeight="1">
      <c r="A220" s="258"/>
      <c r="B220" s="258"/>
      <c r="C220" s="35" t="s">
        <v>259</v>
      </c>
      <c r="D220" s="59">
        <v>300000</v>
      </c>
      <c r="E220" s="75">
        <f>SUMIF(Table_1[내용 및 목적],"조직원포상비",Table_1[지출])</f>
        <v>0</v>
      </c>
      <c r="F220" s="267">
        <f t="shared" si="0"/>
        <v>300000</v>
      </c>
      <c r="G220" s="179"/>
      <c r="L220" s="76"/>
      <c r="N220" s="77"/>
    </row>
    <row r="221" spans="1:14" ht="16.5" customHeight="1">
      <c r="A221" s="258"/>
      <c r="B221" s="258"/>
      <c r="C221" s="35" t="s">
        <v>261</v>
      </c>
      <c r="D221" s="59">
        <f>20000*200</f>
        <v>4000000</v>
      </c>
      <c r="E221" s="75">
        <f>SUMIF(Table_1[내용 및 목적],"선물비",Table_1[지출])</f>
        <v>0</v>
      </c>
      <c r="F221" s="267">
        <f t="shared" si="0"/>
        <v>4000000</v>
      </c>
      <c r="G221" s="179"/>
      <c r="L221" s="76"/>
      <c r="N221" s="77"/>
    </row>
    <row r="222" spans="1:14" ht="16.5" customHeight="1">
      <c r="A222" s="258"/>
      <c r="B222" s="258"/>
      <c r="C222" s="35" t="s">
        <v>253</v>
      </c>
      <c r="D222" s="59">
        <f>50000*46</f>
        <v>2300000</v>
      </c>
      <c r="E222" s="75">
        <f>SUMIF(Table_1[내용 및 목적],"조직원수련회비",Table_1[지출])</f>
        <v>0</v>
      </c>
      <c r="F222" s="267">
        <f t="shared" si="0"/>
        <v>2300000</v>
      </c>
      <c r="G222" s="179"/>
      <c r="L222" s="76"/>
      <c r="N222" s="77"/>
    </row>
    <row r="223" spans="1:14" ht="16.5" customHeight="1">
      <c r="A223" s="258"/>
      <c r="B223" s="208"/>
      <c r="C223" s="35" t="s">
        <v>256</v>
      </c>
      <c r="D223" s="59"/>
      <c r="E223" s="75">
        <f>SUMIF(Table_1[내용 및 목적],"후원회원행사비",Table_1[지출])</f>
        <v>0</v>
      </c>
      <c r="F223" s="267">
        <f t="shared" si="0"/>
        <v>0</v>
      </c>
      <c r="G223" s="179"/>
      <c r="L223" s="76"/>
      <c r="N223" s="77"/>
    </row>
    <row r="224" spans="1:14" ht="16.5" customHeight="1">
      <c r="A224" s="258"/>
      <c r="B224" s="34" t="s">
        <v>272</v>
      </c>
      <c r="C224" s="35" t="s">
        <v>249</v>
      </c>
      <c r="D224" s="59">
        <v>600000</v>
      </c>
      <c r="E224" s="75">
        <f>SUMIF(Table_1[내용 및 목적],"정책활동비",Table_1[지출])</f>
        <v>0</v>
      </c>
      <c r="F224" s="267">
        <f t="shared" si="0"/>
        <v>600000</v>
      </c>
      <c r="G224" s="179"/>
      <c r="L224" s="76"/>
      <c r="N224" s="77"/>
    </row>
    <row r="225" spans="1:14" ht="16.5" customHeight="1">
      <c r="A225" s="258"/>
      <c r="B225" s="34" t="s">
        <v>273</v>
      </c>
      <c r="C225" s="35" t="s">
        <v>248</v>
      </c>
      <c r="D225" s="59">
        <v>300000</v>
      </c>
      <c r="E225" s="75">
        <f>SUMIF(Table_1[내용 및 목적],"대협활동비",Table_1[지출])</f>
        <v>0</v>
      </c>
      <c r="F225" s="267">
        <f t="shared" si="0"/>
        <v>300000</v>
      </c>
      <c r="G225" s="179"/>
      <c r="L225" s="76"/>
      <c r="N225" s="77"/>
    </row>
    <row r="226" spans="1:14" ht="16.5" customHeight="1">
      <c r="A226" s="258"/>
      <c r="B226" s="257" t="s">
        <v>274</v>
      </c>
      <c r="C226" s="35" t="s">
        <v>252</v>
      </c>
      <c r="D226" s="59">
        <v>500000</v>
      </c>
      <c r="E226" s="75">
        <f>SUMIF(Table_1[내용 및 목적],"대자보비",Table_1[지출])</f>
        <v>0</v>
      </c>
      <c r="F226" s="267">
        <f t="shared" si="0"/>
        <v>500000</v>
      </c>
      <c r="G226" s="179"/>
      <c r="L226" s="76"/>
      <c r="N226" s="77"/>
    </row>
    <row r="227" spans="1:14" ht="16.5" customHeight="1">
      <c r="A227" s="208"/>
      <c r="B227" s="208"/>
      <c r="C227" s="35" t="s">
        <v>242</v>
      </c>
      <c r="D227" s="59">
        <f>800000-400000</f>
        <v>400000</v>
      </c>
      <c r="E227" s="75">
        <f>SUMIF(Table_1[내용 및 목적],"유인물,현수막비",Table_1[지출])</f>
        <v>0</v>
      </c>
      <c r="F227" s="267">
        <f t="shared" si="0"/>
        <v>400000</v>
      </c>
      <c r="G227" s="179"/>
      <c r="L227" s="76"/>
      <c r="N227" s="77"/>
    </row>
    <row r="228" spans="1:14" ht="16.5" customHeight="1">
      <c r="D228" s="75"/>
      <c r="E228" s="75"/>
      <c r="F228" s="75"/>
      <c r="G228" s="75"/>
      <c r="L228" s="76"/>
      <c r="N228" s="77"/>
    </row>
    <row r="229" spans="1:14" ht="16.5" customHeight="1">
      <c r="D229" s="75"/>
      <c r="E229" s="75"/>
      <c r="F229" s="75"/>
      <c r="G229" s="75"/>
      <c r="L229" s="76"/>
      <c r="N229" s="77"/>
    </row>
    <row r="230" spans="1:14" ht="16.5" customHeight="1">
      <c r="D230" s="75"/>
      <c r="E230" s="75"/>
      <c r="F230" s="75"/>
      <c r="G230" s="75"/>
      <c r="L230" s="76"/>
      <c r="N230" s="77"/>
    </row>
    <row r="231" spans="1:14" ht="16.5" customHeight="1">
      <c r="D231" s="75"/>
      <c r="E231" s="75"/>
      <c r="F231" s="75"/>
      <c r="G231" s="75"/>
      <c r="L231" s="76"/>
      <c r="N231" s="77"/>
    </row>
    <row r="232" spans="1:14" ht="16.5" customHeight="1">
      <c r="D232" s="75"/>
      <c r="E232" s="75"/>
      <c r="F232" s="75"/>
      <c r="G232" s="75"/>
      <c r="L232" s="76"/>
      <c r="N232" s="77"/>
    </row>
    <row r="233" spans="1:14" ht="16.5" customHeight="1">
      <c r="D233" s="75"/>
      <c r="E233" s="75"/>
      <c r="F233" s="75"/>
      <c r="G233" s="75"/>
      <c r="L233" s="76"/>
      <c r="N233" s="77"/>
    </row>
    <row r="234" spans="1:14" ht="16.5" customHeight="1">
      <c r="D234" s="75"/>
      <c r="E234" s="75"/>
      <c r="F234" s="75"/>
      <c r="G234" s="75"/>
      <c r="L234" s="76"/>
      <c r="N234" s="77"/>
    </row>
    <row r="235" spans="1:14" ht="16.5" customHeight="1">
      <c r="D235" s="75"/>
      <c r="E235" s="75"/>
      <c r="F235" s="75"/>
      <c r="G235" s="75"/>
      <c r="L235" s="76"/>
      <c r="N235" s="77"/>
    </row>
    <row r="236" spans="1:14" ht="16.5" customHeight="1">
      <c r="D236" s="75"/>
      <c r="E236" s="75"/>
      <c r="F236" s="75"/>
      <c r="G236" s="75"/>
      <c r="L236" s="76"/>
      <c r="N236" s="77"/>
    </row>
    <row r="237" spans="1:14" ht="16.5" customHeight="1">
      <c r="D237" s="75"/>
      <c r="E237" s="75"/>
      <c r="F237" s="75"/>
      <c r="G237" s="75"/>
      <c r="L237" s="76"/>
      <c r="N237" s="77"/>
    </row>
    <row r="238" spans="1:14" ht="16.5" customHeight="1">
      <c r="D238" s="75"/>
      <c r="E238" s="75"/>
      <c r="F238" s="75"/>
      <c r="G238" s="75"/>
      <c r="L238" s="76"/>
      <c r="N238" s="77"/>
    </row>
    <row r="239" spans="1:14" ht="16.5" customHeight="1">
      <c r="D239" s="75"/>
      <c r="E239" s="75"/>
      <c r="F239" s="75"/>
      <c r="G239" s="75"/>
      <c r="L239" s="76"/>
      <c r="N239" s="77"/>
    </row>
    <row r="240" spans="1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  <row r="1085" spans="4:14" ht="16.5" customHeight="1">
      <c r="D1085" s="75"/>
      <c r="E1085" s="75"/>
      <c r="F1085" s="75"/>
      <c r="G1085" s="75"/>
      <c r="L1085" s="76"/>
      <c r="N1085" s="77"/>
    </row>
    <row r="1086" spans="4:14" ht="16.5" customHeight="1">
      <c r="D1086" s="75"/>
      <c r="E1086" s="75"/>
      <c r="F1086" s="75"/>
      <c r="G1086" s="75"/>
      <c r="L1086" s="76"/>
      <c r="N1086" s="77"/>
    </row>
    <row r="1087" spans="4:14" ht="16.5" customHeight="1">
      <c r="D1087" s="75"/>
      <c r="E1087" s="75"/>
      <c r="F1087" s="75"/>
      <c r="G1087" s="75"/>
      <c r="L1087" s="76"/>
      <c r="N1087" s="77"/>
    </row>
    <row r="1088" spans="4:14" ht="16.5" customHeight="1">
      <c r="D1088" s="75"/>
      <c r="E1088" s="75"/>
      <c r="F1088" s="75"/>
      <c r="G1088" s="75"/>
      <c r="L1088" s="76"/>
      <c r="N1088" s="77"/>
    </row>
    <row r="1089" spans="4:14" ht="16.5" customHeight="1">
      <c r="D1089" s="75"/>
      <c r="E1089" s="75"/>
      <c r="F1089" s="75"/>
      <c r="G1089" s="75"/>
      <c r="L1089" s="76"/>
      <c r="N1089" s="77"/>
    </row>
    <row r="1090" spans="4:14" ht="16.5" customHeight="1">
      <c r="D1090" s="75"/>
      <c r="E1090" s="75"/>
      <c r="F1090" s="75"/>
      <c r="G1090" s="75"/>
      <c r="L1090" s="76"/>
      <c r="N1090" s="77"/>
    </row>
    <row r="1091" spans="4:14" ht="16.5" customHeight="1">
      <c r="D1091" s="75"/>
      <c r="E1091" s="75"/>
      <c r="F1091" s="75"/>
      <c r="G1091" s="75"/>
      <c r="L1091" s="76"/>
      <c r="N1091" s="77"/>
    </row>
    <row r="1092" spans="4:14" ht="16.5" customHeight="1">
      <c r="D1092" s="75"/>
      <c r="E1092" s="75"/>
      <c r="F1092" s="75"/>
      <c r="G1092" s="75"/>
      <c r="L1092" s="76"/>
      <c r="N1092" s="77"/>
    </row>
    <row r="1093" spans="4:14" ht="16.5" customHeight="1">
      <c r="D1093" s="75"/>
      <c r="E1093" s="75"/>
      <c r="F1093" s="75"/>
      <c r="G1093" s="75"/>
      <c r="L1093" s="76"/>
      <c r="N1093" s="77"/>
    </row>
    <row r="1094" spans="4:14" ht="16.5" customHeight="1">
      <c r="D1094" s="75"/>
      <c r="E1094" s="75"/>
      <c r="F1094" s="75"/>
      <c r="G1094" s="75"/>
      <c r="L1094" s="76"/>
      <c r="N1094" s="77"/>
    </row>
    <row r="1095" spans="4:14" ht="16.5" customHeight="1">
      <c r="D1095" s="75"/>
      <c r="E1095" s="75"/>
      <c r="F1095" s="75"/>
      <c r="G1095" s="75"/>
      <c r="L1095" s="76"/>
      <c r="N1095" s="77"/>
    </row>
    <row r="1096" spans="4:14" ht="16.5" customHeight="1">
      <c r="D1096" s="75"/>
      <c r="E1096" s="75"/>
      <c r="F1096" s="75"/>
      <c r="G1096" s="75"/>
      <c r="L1096" s="76"/>
      <c r="N1096" s="77"/>
    </row>
    <row r="1097" spans="4:14" ht="16.5" customHeight="1">
      <c r="D1097" s="75"/>
      <c r="E1097" s="75"/>
      <c r="F1097" s="75"/>
      <c r="G1097" s="75"/>
      <c r="L1097" s="76"/>
      <c r="N1097" s="77"/>
    </row>
    <row r="1098" spans="4:14" ht="16.5" customHeight="1">
      <c r="D1098" s="75"/>
      <c r="E1098" s="75"/>
      <c r="F1098" s="75"/>
      <c r="G1098" s="75"/>
      <c r="L1098" s="76"/>
      <c r="N1098" s="77"/>
    </row>
  </sheetData>
  <mergeCells count="27">
    <mergeCell ref="O52:O54"/>
    <mergeCell ref="F213:G213"/>
    <mergeCell ref="F219:G219"/>
    <mergeCell ref="F220:G220"/>
    <mergeCell ref="A210:A217"/>
    <mergeCell ref="F217:G217"/>
    <mergeCell ref="F226:G226"/>
    <mergeCell ref="F216:G216"/>
    <mergeCell ref="F223:G223"/>
    <mergeCell ref="B211:B216"/>
    <mergeCell ref="F222:G222"/>
    <mergeCell ref="O29:O49"/>
    <mergeCell ref="B219:B223"/>
    <mergeCell ref="A1:N2"/>
    <mergeCell ref="F227:G227"/>
    <mergeCell ref="F212:G212"/>
    <mergeCell ref="B226:B227"/>
    <mergeCell ref="F224:G224"/>
    <mergeCell ref="F214:G214"/>
    <mergeCell ref="F225:G225"/>
    <mergeCell ref="F210:G210"/>
    <mergeCell ref="F209:G209"/>
    <mergeCell ref="F218:G218"/>
    <mergeCell ref="A218:A227"/>
    <mergeCell ref="F221:G221"/>
    <mergeCell ref="F215:G215"/>
    <mergeCell ref="F211:G211"/>
  </mergeCells>
  <phoneticPr fontId="33" type="noConversion"/>
  <dataValidations disablePrompts="1" count="4">
    <dataValidation type="list" allowBlank="1" showErrorMessage="1" sqref="C5:C107 C141 C147 C162 C169:C170 C166:C167 C190:C192 C180" xr:uid="{00000000-0002-0000-0200-000000000000}">
      <formula1>INDIRECT(B5)</formula1>
    </dataValidation>
    <dataValidation type="list" allowBlank="1" showInputMessage="1" showErrorMessage="1" sqref="A194" xr:uid="{00000000-0002-0000-0200-000001000000}">
      <formula1>INDIRECT(A194)</formula1>
    </dataValidation>
    <dataValidation type="list" allowBlank="1" showInputMessage="1" sqref="C108:C140 C142:C146 C148:C161 C163:C165 C168 C171:C179 C181:C189" xr:uid="{00000000-0002-0000-0200-000002000000}">
      <formula1>INDIRECT($B108)</formula1>
    </dataValidation>
    <dataValidation type="list" allowBlank="1" showErrorMessage="1" sqref="B5:B192" xr:uid="{00000000-0002-0000-0200-000003000000}">
      <formula1>$A$194:$H$194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6" customWidth="1"/>
    <col min="2" max="2" width="11.42578125" style="156" customWidth="1"/>
    <col min="3" max="7" width="13.28515625" style="156" customWidth="1"/>
    <col min="8" max="8" width="57.28515625" style="156" customWidth="1"/>
    <col min="9" max="9" width="9" style="156" customWidth="1"/>
    <col min="10" max="10" width="17.140625" style="156" customWidth="1"/>
    <col min="11" max="26" width="8.7109375" style="156" customWidth="1"/>
  </cols>
  <sheetData>
    <row r="1" spans="1:26" ht="12.75" customHeight="1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</row>
    <row r="2" spans="1:26" ht="33" customHeight="1">
      <c r="A2" s="96"/>
      <c r="B2" s="269" t="s">
        <v>342</v>
      </c>
      <c r="C2" s="260"/>
      <c r="D2" s="260"/>
      <c r="E2" s="260"/>
      <c r="F2" s="260"/>
      <c r="G2" s="260"/>
      <c r="H2" s="260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26" ht="12" customHeight="1">
      <c r="A3" s="96"/>
      <c r="B3" s="97"/>
      <c r="C3" s="97"/>
      <c r="D3" s="97"/>
      <c r="E3" s="97"/>
      <c r="F3" s="97"/>
      <c r="G3" s="97"/>
      <c r="H3" s="97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</row>
    <row r="4" spans="1:26" ht="12" customHeight="1">
      <c r="A4" s="96"/>
      <c r="B4" s="97"/>
      <c r="C4" s="97"/>
      <c r="D4" s="97"/>
      <c r="E4" s="97"/>
      <c r="F4" s="97"/>
      <c r="G4" s="97"/>
      <c r="H4" s="9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</row>
    <row r="5" spans="1:26" ht="28.5" customHeight="1">
      <c r="A5" s="96"/>
      <c r="B5" s="98"/>
      <c r="C5" s="99" t="s">
        <v>343</v>
      </c>
      <c r="D5" s="100" t="s">
        <v>344</v>
      </c>
      <c r="E5" s="100" t="s">
        <v>345</v>
      </c>
      <c r="F5" s="100" t="s">
        <v>346</v>
      </c>
      <c r="G5" s="99" t="s">
        <v>347</v>
      </c>
      <c r="H5" s="99" t="s">
        <v>348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</row>
    <row r="6" spans="1:26" ht="28.5" customHeight="1">
      <c r="A6" s="96"/>
      <c r="B6" s="99" t="s">
        <v>349</v>
      </c>
      <c r="C6" s="101">
        <v>45</v>
      </c>
      <c r="D6" s="101">
        <v>189</v>
      </c>
      <c r="E6" s="102">
        <f t="shared" ref="E6:E14" si="0">C6*20000</f>
        <v>900000</v>
      </c>
      <c r="F6" s="102">
        <f>189*5000+5000</f>
        <v>950000</v>
      </c>
      <c r="G6" s="103">
        <f>SUM(E6:F6)</f>
        <v>1850000</v>
      </c>
      <c r="H6" s="104" t="s">
        <v>350</v>
      </c>
      <c r="I6" s="96"/>
      <c r="J6" s="105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</row>
    <row r="7" spans="1:26" ht="28.5" customHeight="1">
      <c r="A7" s="96"/>
      <c r="B7" s="99" t="s">
        <v>351</v>
      </c>
      <c r="C7" s="101">
        <v>46</v>
      </c>
      <c r="D7" s="101">
        <v>186</v>
      </c>
      <c r="E7" s="102">
        <f t="shared" si="0"/>
        <v>920000</v>
      </c>
      <c r="F7" s="102">
        <f t="shared" ref="F7:F14" si="1">D7*5000+5000</f>
        <v>935000</v>
      </c>
      <c r="G7" s="103">
        <f t="shared" ref="G7:G14" si="2">E7+F7</f>
        <v>1855000</v>
      </c>
      <c r="H7" s="104" t="s">
        <v>352</v>
      </c>
      <c r="I7" s="96"/>
      <c r="J7" s="105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</row>
    <row r="8" spans="1:26" ht="28.5" customHeight="1">
      <c r="A8" s="96"/>
      <c r="B8" s="99" t="s">
        <v>353</v>
      </c>
      <c r="C8" s="101">
        <v>46</v>
      </c>
      <c r="D8" s="101">
        <v>185</v>
      </c>
      <c r="E8" s="102">
        <f t="shared" si="0"/>
        <v>920000</v>
      </c>
      <c r="F8" s="102">
        <f t="shared" si="1"/>
        <v>930000</v>
      </c>
      <c r="G8" s="103">
        <f t="shared" si="2"/>
        <v>1850000</v>
      </c>
      <c r="H8" s="104" t="s">
        <v>354</v>
      </c>
      <c r="I8" s="96"/>
      <c r="J8" s="105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</row>
    <row r="9" spans="1:26" ht="28.5" customHeight="1">
      <c r="A9" s="96"/>
      <c r="B9" s="99" t="s">
        <v>355</v>
      </c>
      <c r="C9" s="101">
        <v>46</v>
      </c>
      <c r="D9" s="106">
        <v>186</v>
      </c>
      <c r="E9" s="102">
        <f t="shared" si="0"/>
        <v>920000</v>
      </c>
      <c r="F9" s="102">
        <f t="shared" si="1"/>
        <v>935000</v>
      </c>
      <c r="G9" s="103">
        <f t="shared" si="2"/>
        <v>1855000</v>
      </c>
      <c r="H9" s="104" t="s">
        <v>356</v>
      </c>
      <c r="I9" s="96"/>
      <c r="J9" s="105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</row>
    <row r="10" spans="1:26" ht="28.5" customHeight="1">
      <c r="A10" s="96"/>
      <c r="B10" s="99" t="s">
        <v>357</v>
      </c>
      <c r="C10" s="101">
        <v>46</v>
      </c>
      <c r="D10" s="106">
        <v>187</v>
      </c>
      <c r="E10" s="102">
        <f t="shared" si="0"/>
        <v>920000</v>
      </c>
      <c r="F10" s="102">
        <f t="shared" si="1"/>
        <v>940000</v>
      </c>
      <c r="G10" s="103">
        <f t="shared" si="2"/>
        <v>1860000</v>
      </c>
      <c r="H10" s="104" t="s">
        <v>358</v>
      </c>
      <c r="I10" s="96"/>
      <c r="J10" s="105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</row>
    <row r="11" spans="1:26" ht="28.5" customHeight="1">
      <c r="A11" s="96"/>
      <c r="B11" s="99" t="s">
        <v>359</v>
      </c>
      <c r="C11" s="101">
        <v>46</v>
      </c>
      <c r="D11" s="101">
        <v>187</v>
      </c>
      <c r="E11" s="102">
        <f t="shared" si="0"/>
        <v>920000</v>
      </c>
      <c r="F11" s="102">
        <f t="shared" si="1"/>
        <v>940000</v>
      </c>
      <c r="G11" s="103">
        <f t="shared" si="2"/>
        <v>1860000</v>
      </c>
      <c r="H11" s="104" t="s">
        <v>360</v>
      </c>
      <c r="I11" s="96"/>
      <c r="J11" s="10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</row>
    <row r="12" spans="1:26" ht="28.5" customHeight="1">
      <c r="A12" s="96"/>
      <c r="B12" s="99" t="s">
        <v>361</v>
      </c>
      <c r="C12" s="101">
        <v>46</v>
      </c>
      <c r="D12" s="101">
        <v>188</v>
      </c>
      <c r="E12" s="102">
        <f t="shared" si="0"/>
        <v>920000</v>
      </c>
      <c r="F12" s="102">
        <f t="shared" si="1"/>
        <v>945000</v>
      </c>
      <c r="G12" s="103">
        <f t="shared" si="2"/>
        <v>1865000</v>
      </c>
      <c r="H12" s="104" t="s">
        <v>362</v>
      </c>
      <c r="I12" s="96"/>
      <c r="J12" s="105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spans="1:26" ht="28.5" customHeight="1">
      <c r="A13" s="96"/>
      <c r="B13" s="99" t="s">
        <v>363</v>
      </c>
      <c r="C13" s="101">
        <v>46</v>
      </c>
      <c r="D13" s="101">
        <v>189</v>
      </c>
      <c r="E13" s="102">
        <f t="shared" si="0"/>
        <v>920000</v>
      </c>
      <c r="F13" s="102">
        <f t="shared" si="1"/>
        <v>950000</v>
      </c>
      <c r="G13" s="103">
        <f t="shared" si="2"/>
        <v>1870000</v>
      </c>
      <c r="H13" s="104" t="s">
        <v>411</v>
      </c>
      <c r="I13" s="96"/>
      <c r="J13" s="105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spans="1:26" ht="28.5" customHeight="1">
      <c r="A14" s="96"/>
      <c r="B14" s="99" t="s">
        <v>364</v>
      </c>
      <c r="C14" s="101">
        <v>46</v>
      </c>
      <c r="D14" s="101">
        <v>191</v>
      </c>
      <c r="E14" s="102">
        <f t="shared" si="0"/>
        <v>920000</v>
      </c>
      <c r="F14" s="102">
        <f t="shared" si="1"/>
        <v>960000</v>
      </c>
      <c r="G14" s="103">
        <f t="shared" si="2"/>
        <v>1880000</v>
      </c>
      <c r="H14" s="104" t="s">
        <v>410</v>
      </c>
      <c r="I14" s="96"/>
      <c r="J14" s="10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spans="1:26" ht="28.5" customHeight="1">
      <c r="A15" s="96"/>
      <c r="B15" s="99" t="s">
        <v>365</v>
      </c>
      <c r="C15" s="101"/>
      <c r="D15" s="101"/>
      <c r="E15" s="102"/>
      <c r="F15" s="102"/>
      <c r="G15" s="103"/>
      <c r="H15" s="104"/>
      <c r="I15" s="96"/>
      <c r="J15" s="105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spans="1:26" ht="28.5" customHeight="1">
      <c r="A16" s="96"/>
      <c r="B16" s="99" t="s">
        <v>366</v>
      </c>
      <c r="C16" s="101"/>
      <c r="D16" s="101"/>
      <c r="E16" s="102"/>
      <c r="F16" s="102"/>
      <c r="G16" s="103"/>
      <c r="H16" s="104"/>
      <c r="I16" s="96"/>
      <c r="J16" s="105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spans="1:26" ht="28.5" customHeight="1">
      <c r="A17" s="96"/>
      <c r="B17" s="99" t="s">
        <v>367</v>
      </c>
      <c r="C17" s="101"/>
      <c r="D17" s="101"/>
      <c r="E17" s="102"/>
      <c r="F17" s="102"/>
      <c r="G17" s="103"/>
      <c r="H17" s="104"/>
      <c r="I17" s="96"/>
      <c r="J17" s="10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spans="1:26" ht="26.25" customHeight="1">
      <c r="A18" s="96"/>
      <c r="B18" s="107" t="s">
        <v>368</v>
      </c>
      <c r="C18" s="101"/>
      <c r="D18" s="101"/>
      <c r="E18" s="108">
        <f>SUM(E6:E17)</f>
        <v>8260000</v>
      </c>
      <c r="F18" s="108">
        <f>SUM(F6:F17)</f>
        <v>8485000</v>
      </c>
      <c r="G18" s="108">
        <f>SUM(G6:G17)</f>
        <v>16745000</v>
      </c>
      <c r="H18" s="109"/>
      <c r="I18" s="96"/>
      <c r="J18" s="105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</row>
    <row r="19" spans="1:26" ht="46.5" customHeight="1">
      <c r="A19" s="96"/>
      <c r="B19" s="96"/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</row>
    <row r="20" spans="1:26" ht="27" customHeight="1">
      <c r="A20" s="96"/>
      <c r="B20" s="114" t="s">
        <v>369</v>
      </c>
      <c r="C20" s="111"/>
      <c r="D20" s="111"/>
      <c r="E20" s="112"/>
      <c r="F20" s="112"/>
      <c r="G20" s="152">
        <f>SUMIFS('3. 5기 수입지출장부'!$D$5:$D$2020,'3. 5기 수입지출장부'!$C$5:$C$2020,"재정사업")</f>
        <v>3308400</v>
      </c>
      <c r="H20" s="109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</row>
    <row r="21" spans="1:26" ht="3.75" customHeight="1">
      <c r="A21" s="96"/>
      <c r="B21" s="110"/>
      <c r="C21" s="111"/>
      <c r="D21" s="111"/>
      <c r="E21" s="112"/>
      <c r="F21" s="112"/>
      <c r="G21" s="113"/>
      <c r="H21" s="10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</row>
    <row r="22" spans="1:26" ht="22.5" customHeight="1">
      <c r="A22" s="96"/>
      <c r="B22" s="114" t="s">
        <v>370</v>
      </c>
      <c r="C22" s="111"/>
      <c r="D22" s="111"/>
      <c r="E22" s="112"/>
      <c r="F22" s="112"/>
      <c r="G22" s="152">
        <f>SUMIFS('3. 5기 수입지출장부'!$D$5:$D$2020,'3. 5기 수입지출장부'!$C$5:$C$2020,"이자수입")</f>
        <v>13300</v>
      </c>
      <c r="H22" s="10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</row>
    <row r="23" spans="1:26" ht="5.25" customHeight="1">
      <c r="A23" s="96"/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 spans="1:26" ht="24" customHeight="1">
      <c r="A24" s="96"/>
      <c r="B24" s="114" t="s">
        <v>371</v>
      </c>
      <c r="C24" s="111"/>
      <c r="D24" s="111"/>
      <c r="E24" s="112"/>
      <c r="F24" s="112"/>
      <c r="G24" s="152">
        <f>G18+G20+G22</f>
        <v>20066700</v>
      </c>
      <c r="H24" s="107" t="s">
        <v>372</v>
      </c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</row>
    <row r="25" spans="1:26" ht="12.75" customHeight="1">
      <c r="A25" s="96"/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 spans="1:26" ht="12.75" customHeight="1">
      <c r="A26" s="96"/>
      <c r="B26" s="96"/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</row>
    <row r="27" spans="1:26" ht="12.75" customHeight="1">
      <c r="A27" s="96"/>
      <c r="B27" s="115"/>
      <c r="C27" s="96"/>
      <c r="D27" s="96"/>
      <c r="E27" s="96"/>
      <c r="F27" s="96"/>
      <c r="G27" s="11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</row>
    <row r="28" spans="1:26" ht="12.75" customHeight="1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</row>
    <row r="29" spans="1:26" ht="12.75" customHeight="1">
      <c r="A29" s="96"/>
      <c r="B29" s="96"/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</row>
    <row r="30" spans="1:26" ht="12.75" customHeight="1">
      <c r="A30" s="96"/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</row>
    <row r="31" spans="1:26" ht="12.75" customHeight="1">
      <c r="A31" s="96"/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</row>
    <row r="32" spans="1:26" ht="12.75" customHeight="1">
      <c r="A32" s="96"/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</row>
    <row r="33" spans="1:26" ht="12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</row>
    <row r="34" spans="1:26" ht="12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</row>
    <row r="35" spans="1:26" ht="12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 spans="1:26" ht="12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</row>
    <row r="37" spans="1:26" ht="12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 spans="1:26" ht="12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 spans="1:26" ht="12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 spans="1:26" ht="12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 spans="1:26" ht="12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 spans="1:26" ht="12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 spans="1:26" ht="12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 spans="1:26" ht="12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 spans="1:26" ht="12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 spans="1:26" ht="12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 spans="1:26" ht="12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 spans="1:26" ht="12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 spans="1:26" ht="12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 spans="1:26" ht="12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 spans="1:26" ht="12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 spans="1:26" ht="12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 spans="1:26" ht="12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 spans="1:26" ht="12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 spans="1:26" ht="12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 spans="1:26" ht="12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 spans="1:26" ht="12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 spans="1:26" ht="12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 spans="1:26" ht="12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 spans="1:26" ht="12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 spans="1:26" ht="12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 spans="1:26" ht="12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 spans="1:26" ht="12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 spans="1:26" ht="12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  <row r="65" spans="1:26" ht="12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</row>
    <row r="66" spans="1:26" ht="12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</row>
    <row r="67" spans="1:26" ht="12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</row>
    <row r="68" spans="1:26" ht="12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</row>
    <row r="69" spans="1:26" ht="12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</row>
    <row r="70" spans="1:26" ht="12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</row>
    <row r="71" spans="1:26" ht="12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 spans="1:26" ht="12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</row>
    <row r="73" spans="1:26" ht="12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</row>
    <row r="74" spans="1:26" ht="12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</row>
    <row r="75" spans="1:26" ht="12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</row>
    <row r="76" spans="1:26" ht="12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</row>
    <row r="77" spans="1:26" ht="12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</row>
    <row r="78" spans="1:26" ht="12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</row>
    <row r="79" spans="1:26" ht="12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</row>
    <row r="80" spans="1:26" ht="12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</row>
    <row r="81" spans="1:26" ht="12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</row>
    <row r="82" spans="1:26" ht="12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</row>
    <row r="83" spans="1:26" ht="12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</row>
    <row r="84" spans="1:26" ht="12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</row>
    <row r="85" spans="1:26" ht="12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</row>
    <row r="86" spans="1:26" ht="12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</row>
    <row r="87" spans="1:26" ht="12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</row>
    <row r="88" spans="1:26" ht="12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</row>
    <row r="89" spans="1:26" ht="12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</row>
    <row r="90" spans="1:26" ht="12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</row>
    <row r="91" spans="1:26" ht="12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</row>
    <row r="92" spans="1:26" ht="12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</row>
    <row r="93" spans="1:26" ht="12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</row>
    <row r="94" spans="1:26" ht="12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</row>
    <row r="95" spans="1:26" ht="12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</row>
    <row r="96" spans="1:26" ht="12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</row>
    <row r="97" spans="1:26" ht="12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</row>
    <row r="98" spans="1:26" ht="12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</row>
    <row r="99" spans="1:26" ht="12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</row>
    <row r="100" spans="1:26" ht="12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</row>
    <row r="101" spans="1:26" ht="12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</row>
    <row r="102" spans="1:26" ht="12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</row>
    <row r="103" spans="1:26" ht="12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</row>
    <row r="104" spans="1:26" ht="12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</row>
    <row r="105" spans="1:26" ht="12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</row>
    <row r="106" spans="1:26" ht="12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</row>
    <row r="107" spans="1:26" ht="12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</row>
    <row r="108" spans="1:26" ht="12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</row>
    <row r="109" spans="1:26" ht="12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</row>
    <row r="110" spans="1:26" ht="12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</row>
    <row r="111" spans="1:26" ht="12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</row>
    <row r="112" spans="1:26" ht="12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</row>
    <row r="113" spans="1:26" ht="12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</row>
    <row r="114" spans="1:26" ht="12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</row>
    <row r="115" spans="1:26" ht="12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</row>
    <row r="116" spans="1:26" ht="12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</row>
    <row r="117" spans="1:26" ht="12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</row>
    <row r="118" spans="1:26" ht="12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</row>
    <row r="119" spans="1:26" ht="12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</row>
    <row r="120" spans="1:26" ht="12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</row>
    <row r="121" spans="1:26" ht="12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</row>
    <row r="122" spans="1:26" ht="12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</row>
    <row r="123" spans="1:26" ht="12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</row>
    <row r="124" spans="1:26" ht="12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</row>
    <row r="125" spans="1:26" ht="12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</row>
    <row r="126" spans="1:26" ht="12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</row>
    <row r="127" spans="1:26" ht="12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</row>
    <row r="128" spans="1:26" ht="12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</row>
    <row r="129" spans="1:26" ht="12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</row>
    <row r="130" spans="1:26" ht="12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</row>
    <row r="131" spans="1:26" ht="12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</row>
    <row r="132" spans="1:26" ht="12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</row>
    <row r="133" spans="1:26" ht="12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</row>
    <row r="134" spans="1:26" ht="12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</row>
    <row r="135" spans="1:26" ht="12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</row>
    <row r="136" spans="1:26" ht="12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</row>
    <row r="137" spans="1:26" ht="12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</row>
    <row r="138" spans="1:26" ht="12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</row>
    <row r="139" spans="1:26" ht="12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</row>
    <row r="140" spans="1:26" ht="12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</row>
    <row r="141" spans="1:26" ht="12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</row>
    <row r="142" spans="1:26" ht="12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</row>
    <row r="143" spans="1:26" ht="12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</row>
    <row r="144" spans="1:26" ht="12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</row>
    <row r="145" spans="1:26" ht="12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</row>
    <row r="146" spans="1:26" ht="12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</row>
    <row r="147" spans="1:26" ht="12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</row>
    <row r="148" spans="1:26" ht="12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</row>
    <row r="149" spans="1:26" ht="12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</row>
    <row r="150" spans="1:26" ht="12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</row>
    <row r="151" spans="1:26" ht="12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</row>
    <row r="152" spans="1:26" ht="12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</row>
    <row r="153" spans="1:26" ht="12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</row>
    <row r="154" spans="1:26" ht="12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</row>
    <row r="155" spans="1:26" ht="12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</row>
    <row r="156" spans="1:26" ht="12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</row>
    <row r="157" spans="1:26" ht="12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</row>
    <row r="158" spans="1:26" ht="12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</row>
    <row r="159" spans="1:26" ht="12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</row>
    <row r="160" spans="1:26" ht="12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</row>
    <row r="161" spans="1:26" ht="12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</row>
    <row r="162" spans="1:26" ht="12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</row>
    <row r="163" spans="1:26" ht="12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</row>
    <row r="164" spans="1:26" ht="12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</row>
    <row r="165" spans="1:26" ht="12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</row>
    <row r="166" spans="1:26" ht="12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</row>
    <row r="167" spans="1:26" ht="12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</row>
    <row r="168" spans="1:26" ht="12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</row>
    <row r="169" spans="1:26" ht="12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</row>
    <row r="170" spans="1:26" ht="12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</row>
    <row r="171" spans="1:26" ht="12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</row>
    <row r="172" spans="1:26" ht="12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</row>
    <row r="173" spans="1:26" ht="12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</row>
    <row r="174" spans="1:26" ht="12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</row>
    <row r="175" spans="1:26" ht="12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</row>
    <row r="176" spans="1:26" ht="12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</row>
    <row r="177" spans="1:26" ht="12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</row>
    <row r="178" spans="1:26" ht="12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</row>
    <row r="179" spans="1:26" ht="12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</row>
    <row r="180" spans="1:26" ht="12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</row>
    <row r="181" spans="1:26" ht="12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</row>
    <row r="182" spans="1:26" ht="12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</row>
    <row r="183" spans="1:26" ht="12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</row>
    <row r="184" spans="1:26" ht="12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</row>
    <row r="185" spans="1:26" ht="12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</row>
    <row r="186" spans="1:26" ht="12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</row>
    <row r="187" spans="1:26" ht="12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</row>
    <row r="188" spans="1:26" ht="12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</row>
    <row r="189" spans="1:26" ht="12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</row>
    <row r="190" spans="1:26" ht="12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</row>
    <row r="191" spans="1:26" ht="12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</row>
    <row r="192" spans="1:26" ht="12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</row>
    <row r="193" spans="1:26" ht="12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</row>
    <row r="194" spans="1:26" ht="12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</row>
    <row r="195" spans="1:26" ht="12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</row>
    <row r="196" spans="1:26" ht="12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</row>
    <row r="197" spans="1:26" ht="12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</row>
    <row r="198" spans="1:26" ht="12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</row>
    <row r="199" spans="1:26" ht="12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</row>
    <row r="200" spans="1:26" ht="12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</row>
    <row r="201" spans="1:26" ht="12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</row>
    <row r="202" spans="1:26" ht="12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</row>
    <row r="203" spans="1:26" ht="12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</row>
    <row r="204" spans="1:26" ht="12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</row>
    <row r="205" spans="1:26" ht="12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</row>
    <row r="206" spans="1:26" ht="12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</row>
    <row r="207" spans="1:26" ht="12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</row>
    <row r="208" spans="1:26" ht="12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</row>
    <row r="209" spans="1:26" ht="12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</row>
    <row r="210" spans="1:26" ht="12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</row>
    <row r="211" spans="1:26" ht="12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</row>
    <row r="212" spans="1:26" ht="12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</row>
    <row r="213" spans="1:26" ht="12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</row>
    <row r="214" spans="1:26" ht="12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</row>
    <row r="215" spans="1:26" ht="12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</row>
    <row r="216" spans="1:26" ht="12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</row>
    <row r="217" spans="1:26" ht="12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</row>
    <row r="218" spans="1:26" ht="12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</row>
    <row r="219" spans="1:26" ht="12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</row>
    <row r="220" spans="1:26" ht="12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</row>
    <row r="221" spans="1:26" ht="12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</row>
    <row r="222" spans="1:26" ht="12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</row>
    <row r="223" spans="1:26" ht="12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</row>
    <row r="224" spans="1:26" ht="12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</row>
    <row r="225" spans="1:26" ht="12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</row>
    <row r="226" spans="1:26" ht="12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</row>
    <row r="227" spans="1:26" ht="12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</row>
    <row r="228" spans="1:26" ht="12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</row>
    <row r="229" spans="1:26" ht="12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</row>
    <row r="230" spans="1:26" ht="12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</row>
    <row r="231" spans="1:26" ht="12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</row>
    <row r="232" spans="1:26" ht="12.75" customHeight="1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</row>
    <row r="233" spans="1:26" ht="12.75" customHeight="1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</row>
    <row r="234" spans="1:26" ht="12.75" customHeight="1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</row>
    <row r="235" spans="1:26" ht="12.75" customHeight="1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</row>
    <row r="236" spans="1:26" ht="12.75" customHeight="1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</row>
    <row r="237" spans="1:26" ht="12.75" customHeight="1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</row>
    <row r="238" spans="1:26" ht="12.75" customHeight="1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</row>
    <row r="239" spans="1:26" ht="12.75" customHeight="1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</row>
    <row r="240" spans="1:26" ht="12.75" customHeight="1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</row>
    <row r="241" spans="1:26" ht="12.75" customHeight="1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</row>
    <row r="242" spans="1:26" ht="12.75" customHeight="1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</row>
    <row r="243" spans="1:26" ht="12.75" customHeight="1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</row>
    <row r="244" spans="1:26" ht="12.75" customHeight="1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</row>
    <row r="245" spans="1:26" ht="12.75" customHeight="1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</row>
    <row r="246" spans="1:26" ht="12.75" customHeight="1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</row>
    <row r="247" spans="1:26" ht="12.75" customHeight="1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</row>
    <row r="248" spans="1:26" ht="12.75" customHeight="1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</row>
    <row r="249" spans="1:26" ht="12.75" customHeight="1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</row>
    <row r="250" spans="1:26" ht="12.75" customHeight="1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</row>
    <row r="251" spans="1:26" ht="12.75" customHeight="1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</row>
    <row r="252" spans="1:26" ht="12.75" customHeight="1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</row>
    <row r="253" spans="1:26" ht="12.75" customHeight="1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</row>
    <row r="254" spans="1:26" ht="12.75" customHeight="1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</row>
    <row r="255" spans="1:26" ht="12.75" customHeight="1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</row>
    <row r="256" spans="1:26" ht="12.75" customHeight="1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</row>
    <row r="257" spans="1:26" ht="12.75" customHeight="1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</row>
    <row r="258" spans="1:26" ht="12.75" customHeight="1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  <c r="Y258" s="96"/>
      <c r="Z258" s="96"/>
    </row>
    <row r="259" spans="1:26" ht="12.75" customHeight="1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</row>
    <row r="260" spans="1:26" ht="12.75" customHeight="1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</row>
    <row r="261" spans="1:26" ht="12.75" customHeight="1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</row>
    <row r="262" spans="1:26" ht="12.75" customHeight="1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</row>
    <row r="263" spans="1:26" ht="12.75" customHeight="1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</row>
    <row r="264" spans="1:26" ht="12.75" customHeight="1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  <c r="Y264" s="96"/>
      <c r="Z264" s="96"/>
    </row>
    <row r="265" spans="1:26" ht="12.75" customHeight="1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  <c r="Y265" s="96"/>
      <c r="Z265" s="96"/>
    </row>
    <row r="266" spans="1:26" ht="12.75" customHeight="1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  <c r="Y266" s="96"/>
      <c r="Z266" s="96"/>
    </row>
    <row r="267" spans="1:26" ht="12.75" customHeight="1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</row>
    <row r="268" spans="1:26" ht="12.75" customHeight="1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</row>
    <row r="269" spans="1:26" ht="12.75" customHeight="1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</row>
    <row r="270" spans="1:26" ht="12.75" customHeight="1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</row>
    <row r="271" spans="1:26" ht="12.75" customHeight="1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</row>
    <row r="272" spans="1:26" ht="12.75" customHeight="1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  <c r="Y272" s="96"/>
      <c r="Z272" s="96"/>
    </row>
    <row r="273" spans="1:26" ht="12.75" customHeight="1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  <c r="Y273" s="96"/>
      <c r="Z273" s="96"/>
    </row>
    <row r="274" spans="1:26" ht="12.75" customHeight="1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  <c r="Y274" s="96"/>
      <c r="Z274" s="96"/>
    </row>
    <row r="275" spans="1:26" ht="12.75" customHeight="1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  <c r="Y275" s="96"/>
      <c r="Z275" s="96"/>
    </row>
    <row r="276" spans="1:26" ht="12.75" customHeight="1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  <c r="Y276" s="96"/>
      <c r="Z276" s="96"/>
    </row>
    <row r="277" spans="1:26" ht="12.75" customHeight="1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  <c r="Y277" s="96"/>
      <c r="Z277" s="96"/>
    </row>
    <row r="278" spans="1:26" ht="12.75" customHeight="1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  <c r="Y278" s="96"/>
      <c r="Z278" s="96"/>
    </row>
    <row r="279" spans="1:26" ht="12.75" customHeight="1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  <c r="Y279" s="96"/>
      <c r="Z279" s="96"/>
    </row>
    <row r="280" spans="1:26" ht="12.75" customHeight="1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  <c r="Y280" s="96"/>
      <c r="Z280" s="96"/>
    </row>
    <row r="281" spans="1:26" ht="12.75" customHeight="1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/>
      <c r="Z281" s="96"/>
    </row>
    <row r="282" spans="1:26" ht="12.75" customHeight="1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</row>
    <row r="283" spans="1:26" ht="12.75" customHeight="1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</row>
    <row r="284" spans="1:26" ht="12.75" customHeight="1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</row>
    <row r="285" spans="1:26" ht="12.75" customHeight="1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</row>
    <row r="286" spans="1:26" ht="12.75" customHeight="1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</row>
    <row r="287" spans="1:26" ht="12.75" customHeight="1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</row>
    <row r="288" spans="1:26" ht="12.75" customHeight="1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</row>
    <row r="289" spans="1:26" ht="12.75" customHeight="1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</row>
    <row r="290" spans="1:26" ht="12.75" customHeight="1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</row>
    <row r="291" spans="1:26" ht="12.75" customHeight="1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</row>
    <row r="292" spans="1:26" ht="12.75" customHeight="1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</row>
    <row r="293" spans="1:26" ht="12.75" customHeight="1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</row>
    <row r="294" spans="1:26" ht="12.75" customHeight="1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</row>
    <row r="295" spans="1:26" ht="12.75" customHeight="1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</row>
    <row r="296" spans="1:26" ht="12.75" customHeight="1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  <c r="Y296" s="96"/>
      <c r="Z296" s="96"/>
    </row>
    <row r="297" spans="1:26" ht="12.75" customHeight="1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  <c r="Y297" s="96"/>
      <c r="Z297" s="96"/>
    </row>
    <row r="298" spans="1:26" ht="12.75" customHeight="1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</row>
    <row r="299" spans="1:26" ht="12.75" customHeight="1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</row>
    <row r="300" spans="1:26" ht="12.75" customHeight="1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</row>
    <row r="301" spans="1:26" ht="12.75" customHeight="1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</row>
    <row r="302" spans="1:26" ht="12.75" customHeight="1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</row>
    <row r="303" spans="1:26" ht="12.75" customHeight="1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</row>
    <row r="304" spans="1:26" ht="12.75" customHeight="1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</row>
    <row r="305" spans="1:26" ht="12.75" customHeight="1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</row>
    <row r="306" spans="1:26" ht="12.75" customHeight="1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</row>
    <row r="307" spans="1:26" ht="12.75" customHeight="1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</row>
    <row r="308" spans="1:26" ht="12.75" customHeight="1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</row>
    <row r="309" spans="1:26" ht="12.75" customHeight="1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</row>
    <row r="310" spans="1:26" ht="12.75" customHeight="1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</row>
    <row r="311" spans="1:26" ht="12.75" customHeight="1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  <c r="Y311" s="96"/>
      <c r="Z311" s="96"/>
    </row>
    <row r="312" spans="1:26" ht="12.75" customHeight="1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</row>
    <row r="313" spans="1:26" ht="12.75" customHeight="1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  <c r="Y313" s="96"/>
      <c r="Z313" s="96"/>
    </row>
    <row r="314" spans="1:26" ht="12.75" customHeight="1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  <c r="Y314" s="96"/>
      <c r="Z314" s="96"/>
    </row>
    <row r="315" spans="1:26" ht="12.75" customHeight="1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  <c r="Y315" s="96"/>
      <c r="Z315" s="96"/>
    </row>
    <row r="316" spans="1:26" ht="12.75" customHeight="1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  <c r="Y316" s="96"/>
      <c r="Z316" s="96"/>
    </row>
    <row r="317" spans="1:26" ht="12.75" customHeight="1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</row>
    <row r="318" spans="1:26" ht="12.75" customHeight="1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  <c r="Y318" s="96"/>
      <c r="Z318" s="96"/>
    </row>
    <row r="319" spans="1:26" ht="12.75" customHeight="1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  <c r="Y319" s="96"/>
      <c r="Z319" s="96"/>
    </row>
    <row r="320" spans="1:26" ht="12.75" customHeight="1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  <c r="Y320" s="96"/>
      <c r="Z320" s="96"/>
    </row>
    <row r="321" spans="1:26" ht="12.75" customHeight="1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  <c r="Y321" s="96"/>
      <c r="Z321" s="96"/>
    </row>
    <row r="322" spans="1:26" ht="12.75" customHeight="1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  <c r="Y322" s="96"/>
      <c r="Z322" s="96"/>
    </row>
    <row r="323" spans="1:26" ht="12.75" customHeight="1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</row>
    <row r="324" spans="1:26" ht="12.75" customHeight="1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  <c r="Y324" s="96"/>
      <c r="Z324" s="96"/>
    </row>
    <row r="325" spans="1:26" ht="12.75" customHeight="1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  <c r="Y325" s="96"/>
      <c r="Z325" s="96"/>
    </row>
    <row r="326" spans="1:26" ht="12.75" customHeight="1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</row>
    <row r="327" spans="1:26" ht="12.75" customHeight="1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</row>
    <row r="328" spans="1:26" ht="12.75" customHeight="1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</row>
    <row r="329" spans="1:26" ht="12.75" customHeight="1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  <c r="Y329" s="96"/>
      <c r="Z329" s="96"/>
    </row>
    <row r="330" spans="1:26" ht="12.75" customHeight="1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  <c r="Y330" s="96"/>
      <c r="Z330" s="96"/>
    </row>
    <row r="331" spans="1:26" ht="12.75" customHeight="1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  <c r="Y331" s="96"/>
      <c r="Z331" s="96"/>
    </row>
    <row r="332" spans="1:26" ht="12.75" customHeight="1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</row>
    <row r="333" spans="1:26" ht="12.75" customHeight="1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  <c r="Y333" s="96"/>
      <c r="Z333" s="96"/>
    </row>
    <row r="334" spans="1:26" ht="12.75" customHeight="1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  <c r="Y334" s="96"/>
      <c r="Z334" s="96"/>
    </row>
    <row r="335" spans="1:26" ht="12.75" customHeight="1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  <c r="Y335" s="96"/>
      <c r="Z335" s="96"/>
    </row>
    <row r="336" spans="1:26" ht="12.75" customHeight="1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  <c r="Y336" s="96"/>
      <c r="Z336" s="96"/>
    </row>
    <row r="337" spans="1:26" ht="12.75" customHeight="1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  <c r="Y337" s="96"/>
      <c r="Z337" s="96"/>
    </row>
    <row r="338" spans="1:26" ht="12.75" customHeight="1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</row>
    <row r="339" spans="1:26" ht="12.75" customHeight="1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</row>
    <row r="340" spans="1:26" ht="12.75" customHeight="1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</row>
    <row r="341" spans="1:26" ht="12.75" customHeight="1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</row>
    <row r="342" spans="1:26" ht="12.75" customHeight="1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</row>
    <row r="343" spans="1:26" ht="12.75" customHeight="1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</row>
    <row r="344" spans="1:26" ht="12.75" customHeight="1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</row>
    <row r="345" spans="1:26" ht="12.75" customHeight="1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</row>
    <row r="346" spans="1:26" ht="12.75" customHeight="1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</row>
    <row r="347" spans="1:26" ht="12.75" customHeight="1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</row>
    <row r="348" spans="1:26" ht="12.75" customHeight="1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</row>
    <row r="349" spans="1:26" ht="12.75" customHeight="1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</row>
    <row r="350" spans="1:26" ht="12.75" customHeight="1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</row>
    <row r="351" spans="1:26" ht="12.75" customHeight="1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</row>
    <row r="352" spans="1:26" ht="12.75" customHeight="1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</row>
    <row r="353" spans="1:26" ht="12.75" customHeight="1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</row>
    <row r="354" spans="1:26" ht="12.75" customHeight="1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</row>
    <row r="355" spans="1:26" ht="12.75" customHeight="1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</row>
    <row r="356" spans="1:26" ht="12.75" customHeight="1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</row>
    <row r="357" spans="1:26" ht="12.75" customHeight="1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</row>
    <row r="358" spans="1:26" ht="12.75" customHeight="1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</row>
    <row r="359" spans="1:26" ht="12.75" customHeight="1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</row>
    <row r="360" spans="1:26" ht="12.75" customHeight="1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</row>
    <row r="361" spans="1:26" ht="12.75" customHeight="1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</row>
    <row r="362" spans="1:26" ht="12.75" customHeight="1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</row>
    <row r="363" spans="1:26" ht="12.75" customHeight="1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</row>
    <row r="364" spans="1:26" ht="12.75" customHeight="1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</row>
    <row r="365" spans="1:26" ht="12.75" customHeight="1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</row>
    <row r="366" spans="1:26" ht="12.75" customHeight="1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</row>
    <row r="367" spans="1:26" ht="12.75" customHeight="1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</row>
    <row r="368" spans="1:26" ht="12.75" customHeight="1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</row>
    <row r="369" spans="1:26" ht="12.75" customHeight="1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</row>
    <row r="370" spans="1:26" ht="12.75" customHeight="1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</row>
    <row r="371" spans="1:26" ht="12.75" customHeight="1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</row>
    <row r="372" spans="1:26" ht="12.75" customHeight="1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</row>
    <row r="373" spans="1:26" ht="12.75" customHeight="1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</row>
    <row r="374" spans="1:26" ht="12.75" customHeight="1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</row>
    <row r="375" spans="1:26" ht="12.75" customHeight="1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</row>
    <row r="376" spans="1:26" ht="12.75" customHeight="1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</row>
    <row r="377" spans="1:26" ht="12.75" customHeight="1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</row>
    <row r="378" spans="1:26" ht="12.75" customHeight="1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</row>
    <row r="379" spans="1:26" ht="12.75" customHeight="1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</row>
    <row r="380" spans="1:26" ht="12.75" customHeight="1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</row>
    <row r="381" spans="1:26" ht="12.75" customHeight="1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</row>
    <row r="382" spans="1:26" ht="12.75" customHeight="1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</row>
    <row r="383" spans="1:26" ht="12.75" customHeight="1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</row>
    <row r="384" spans="1:26" ht="12.75" customHeight="1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</row>
    <row r="385" spans="1:26" ht="12.75" customHeight="1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</row>
    <row r="386" spans="1:26" ht="12.75" customHeight="1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</row>
    <row r="387" spans="1:26" ht="12.75" customHeight="1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</row>
    <row r="388" spans="1:26" ht="12.75" customHeight="1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</row>
    <row r="389" spans="1:26" ht="12.75" customHeight="1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</row>
    <row r="390" spans="1:26" ht="12.75" customHeight="1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</row>
    <row r="391" spans="1:26" ht="12.75" customHeight="1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</row>
    <row r="392" spans="1:26" ht="12.75" customHeight="1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</row>
    <row r="393" spans="1:26" ht="12.75" customHeight="1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</row>
    <row r="394" spans="1:26" ht="12.75" customHeight="1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</row>
    <row r="395" spans="1:26" ht="12.75" customHeight="1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</row>
    <row r="396" spans="1:26" ht="12.75" customHeight="1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</row>
    <row r="397" spans="1:26" ht="12.75" customHeight="1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</row>
    <row r="398" spans="1:26" ht="12.75" customHeight="1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</row>
    <row r="399" spans="1:26" ht="12.75" customHeight="1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</row>
    <row r="400" spans="1:26" ht="12.75" customHeight="1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</row>
    <row r="401" spans="1:26" ht="12.75" customHeight="1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</row>
    <row r="402" spans="1:26" ht="12.75" customHeight="1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</row>
    <row r="403" spans="1:26" ht="12.75" customHeight="1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</row>
    <row r="404" spans="1:26" ht="12.75" customHeight="1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</row>
    <row r="405" spans="1:26" ht="12.75" customHeight="1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</row>
    <row r="406" spans="1:26" ht="12.75" customHeight="1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</row>
    <row r="407" spans="1:26" ht="12.75" customHeight="1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</row>
    <row r="408" spans="1:26" ht="12.75" customHeight="1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</row>
    <row r="409" spans="1:26" ht="12.75" customHeight="1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</row>
    <row r="410" spans="1:26" ht="12.75" customHeight="1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</row>
    <row r="411" spans="1:26" ht="12.75" customHeight="1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</row>
    <row r="412" spans="1:26" ht="12.75" customHeight="1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</row>
    <row r="413" spans="1:26" ht="12.75" customHeight="1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</row>
    <row r="414" spans="1:26" ht="12.75" customHeight="1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</row>
    <row r="415" spans="1:26" ht="12.75" customHeight="1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</row>
    <row r="416" spans="1:26" ht="12.75" customHeight="1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</row>
    <row r="417" spans="1:26" ht="12.75" customHeight="1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</row>
    <row r="418" spans="1:26" ht="12.75" customHeight="1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</row>
    <row r="419" spans="1:26" ht="12.75" customHeight="1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</row>
    <row r="420" spans="1:26" ht="12.75" customHeight="1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</row>
    <row r="421" spans="1:26" ht="12.75" customHeight="1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</row>
    <row r="422" spans="1:26" ht="12.75" customHeight="1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</row>
    <row r="423" spans="1:26" ht="12.75" customHeight="1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</row>
    <row r="424" spans="1:26" ht="12.75" customHeight="1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</row>
    <row r="425" spans="1:26" ht="12.75" customHeight="1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</row>
    <row r="426" spans="1:26" ht="12.75" customHeight="1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</row>
    <row r="427" spans="1:26" ht="12.75" customHeight="1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</row>
    <row r="428" spans="1:26" ht="12.75" customHeight="1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</row>
    <row r="429" spans="1:26" ht="12.75" customHeight="1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</row>
    <row r="430" spans="1:26" ht="12.75" customHeight="1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</row>
    <row r="431" spans="1:26" ht="12.75" customHeight="1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</row>
    <row r="432" spans="1:26" ht="12.75" customHeight="1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</row>
    <row r="433" spans="1:26" ht="12.75" customHeight="1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</row>
    <row r="434" spans="1:26" ht="12.75" customHeight="1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</row>
    <row r="435" spans="1:26" ht="12.75" customHeight="1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</row>
    <row r="436" spans="1:26" ht="12.75" customHeight="1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</row>
    <row r="437" spans="1:26" ht="12.75" customHeight="1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</row>
    <row r="438" spans="1:26" ht="12.75" customHeight="1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</row>
    <row r="439" spans="1:26" ht="12.75" customHeight="1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</row>
    <row r="440" spans="1:26" ht="12.75" customHeight="1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</row>
    <row r="441" spans="1:26" ht="12.75" customHeight="1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</row>
    <row r="442" spans="1:26" ht="12.75" customHeight="1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</row>
    <row r="443" spans="1:26" ht="12.75" customHeight="1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</row>
    <row r="444" spans="1:26" ht="12.75" customHeight="1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</row>
    <row r="445" spans="1:26" ht="12.75" customHeight="1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</row>
    <row r="446" spans="1:26" ht="12.75" customHeight="1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</row>
    <row r="447" spans="1:26" ht="12.75" customHeight="1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</row>
    <row r="448" spans="1:26" ht="12.75" customHeight="1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</row>
    <row r="449" spans="1:26" ht="12.75" customHeight="1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</row>
    <row r="450" spans="1:26" ht="12.75" customHeight="1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</row>
    <row r="451" spans="1:26" ht="12.75" customHeight="1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</row>
    <row r="452" spans="1:26" ht="12.75" customHeight="1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</row>
    <row r="453" spans="1:26" ht="12.75" customHeight="1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</row>
    <row r="454" spans="1:26" ht="12.75" customHeight="1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</row>
    <row r="455" spans="1:26" ht="12.75" customHeight="1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</row>
    <row r="456" spans="1:26" ht="12.75" customHeight="1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</row>
    <row r="457" spans="1:26" ht="12.75" customHeight="1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</row>
    <row r="458" spans="1:26" ht="12.75" customHeight="1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</row>
    <row r="459" spans="1:26" ht="12.75" customHeight="1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</row>
    <row r="460" spans="1:26" ht="12.75" customHeight="1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</row>
    <row r="461" spans="1:26" ht="12.75" customHeight="1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</row>
    <row r="462" spans="1:26" ht="12.75" customHeight="1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</row>
    <row r="463" spans="1:26" ht="12.75" customHeight="1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</row>
    <row r="464" spans="1:26" ht="12.75" customHeight="1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</row>
    <row r="465" spans="1:26" ht="12.75" customHeight="1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</row>
    <row r="466" spans="1:26" ht="12.75" customHeight="1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</row>
    <row r="467" spans="1:26" ht="12.75" customHeight="1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</row>
    <row r="468" spans="1:26" ht="12.75" customHeight="1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</row>
    <row r="469" spans="1:26" ht="12.75" customHeight="1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</row>
    <row r="470" spans="1:26" ht="12.75" customHeight="1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</row>
    <row r="471" spans="1:26" ht="12.75" customHeight="1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</row>
    <row r="472" spans="1:26" ht="12.75" customHeight="1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</row>
    <row r="473" spans="1:26" ht="12.75" customHeight="1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</row>
    <row r="474" spans="1:26" ht="12.75" customHeight="1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</row>
    <row r="475" spans="1:26" ht="12.75" customHeight="1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</row>
    <row r="476" spans="1:26" ht="12.75" customHeight="1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</row>
    <row r="477" spans="1:26" ht="12.75" customHeight="1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</row>
    <row r="478" spans="1:26" ht="12.75" customHeight="1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</row>
    <row r="479" spans="1:26" ht="12.75" customHeight="1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</row>
    <row r="480" spans="1:26" ht="12.75" customHeight="1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</row>
    <row r="481" spans="1:26" ht="12.75" customHeight="1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</row>
    <row r="482" spans="1:26" ht="12.75" customHeight="1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</row>
    <row r="483" spans="1:26" ht="12.75" customHeight="1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</row>
    <row r="484" spans="1:26" ht="12.75" customHeight="1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</row>
    <row r="485" spans="1:26" ht="12.75" customHeight="1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</row>
    <row r="486" spans="1:26" ht="12.75" customHeight="1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</row>
    <row r="487" spans="1:26" ht="12.75" customHeight="1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</row>
    <row r="488" spans="1:26" ht="12.75" customHeight="1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</row>
    <row r="489" spans="1:26" ht="12.75" customHeight="1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</row>
    <row r="490" spans="1:26" ht="12.75" customHeight="1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</row>
    <row r="491" spans="1:26" ht="12.75" customHeight="1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</row>
    <row r="492" spans="1:26" ht="12.75" customHeight="1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</row>
    <row r="493" spans="1:26" ht="12.75" customHeight="1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</row>
    <row r="494" spans="1:26" ht="12.75" customHeight="1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</row>
    <row r="495" spans="1:26" ht="12.75" customHeight="1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</row>
    <row r="496" spans="1:26" ht="12.75" customHeight="1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</row>
    <row r="497" spans="1:26" ht="12.75" customHeight="1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</row>
    <row r="498" spans="1:26" ht="12.75" customHeight="1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</row>
    <row r="499" spans="1:26" ht="12.75" customHeight="1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</row>
    <row r="500" spans="1:26" ht="12.75" customHeight="1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</row>
    <row r="501" spans="1:26" ht="12.75" customHeight="1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</row>
    <row r="502" spans="1:26" ht="12.75" customHeight="1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</row>
    <row r="503" spans="1:26" ht="12.75" customHeight="1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</row>
    <row r="504" spans="1:26" ht="12.75" customHeight="1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</row>
    <row r="505" spans="1:26" ht="12.75" customHeight="1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</row>
    <row r="506" spans="1:26" ht="12.75" customHeight="1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</row>
    <row r="507" spans="1:26" ht="12.75" customHeight="1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</row>
    <row r="508" spans="1:26" ht="12.75" customHeight="1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</row>
    <row r="509" spans="1:26" ht="12.75" customHeight="1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</row>
    <row r="510" spans="1:26" ht="12.75" customHeight="1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</row>
    <row r="511" spans="1:26" ht="12.75" customHeight="1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</row>
    <row r="512" spans="1:26" ht="12.75" customHeight="1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</row>
    <row r="513" spans="1:26" ht="12.75" customHeight="1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</row>
    <row r="514" spans="1:26" ht="12.75" customHeight="1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</row>
    <row r="515" spans="1:26" ht="12.75" customHeight="1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</row>
    <row r="516" spans="1:26" ht="12.75" customHeight="1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</row>
    <row r="517" spans="1:26" ht="12.75" customHeight="1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</row>
    <row r="518" spans="1:26" ht="12.75" customHeight="1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</row>
    <row r="519" spans="1:26" ht="12.75" customHeight="1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</row>
    <row r="520" spans="1:26" ht="12.75" customHeight="1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</row>
    <row r="521" spans="1:26" ht="12.75" customHeight="1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</row>
    <row r="522" spans="1:26" ht="12.75" customHeight="1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</row>
    <row r="523" spans="1:26" ht="12.75" customHeight="1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</row>
    <row r="524" spans="1:26" ht="12.75" customHeight="1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</row>
    <row r="525" spans="1:26" ht="12.75" customHeight="1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</row>
    <row r="526" spans="1:26" ht="12.75" customHeight="1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</row>
    <row r="527" spans="1:26" ht="12.75" customHeight="1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</row>
    <row r="528" spans="1:26" ht="12.75" customHeight="1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</row>
    <row r="529" spans="1:26" ht="12.75" customHeight="1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</row>
    <row r="530" spans="1:26" ht="12.75" customHeight="1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</row>
    <row r="531" spans="1:26" ht="12.75" customHeight="1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</row>
    <row r="532" spans="1:26" ht="12.75" customHeight="1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</row>
    <row r="533" spans="1:26" ht="12.75" customHeight="1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</row>
    <row r="534" spans="1:26" ht="12.75" customHeight="1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</row>
    <row r="535" spans="1:26" ht="12.75" customHeight="1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</row>
    <row r="536" spans="1:26" ht="12.75" customHeight="1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</row>
    <row r="537" spans="1:26" ht="12.75" customHeight="1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</row>
    <row r="538" spans="1:26" ht="12.75" customHeight="1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</row>
    <row r="539" spans="1:26" ht="12.75" customHeight="1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</row>
    <row r="540" spans="1:26" ht="12.75" customHeight="1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</row>
    <row r="541" spans="1:26" ht="12.75" customHeight="1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</row>
    <row r="542" spans="1:26" ht="12.75" customHeight="1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</row>
    <row r="543" spans="1:26" ht="12.75" customHeight="1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</row>
    <row r="544" spans="1:26" ht="12.75" customHeight="1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</row>
    <row r="545" spans="1:26" ht="12.75" customHeight="1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</row>
    <row r="546" spans="1:26" ht="12.75" customHeight="1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</row>
    <row r="547" spans="1:26" ht="12.75" customHeight="1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</row>
    <row r="548" spans="1:26" ht="12.75" customHeight="1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</row>
    <row r="549" spans="1:26" ht="12.75" customHeight="1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</row>
    <row r="550" spans="1:26" ht="12.75" customHeight="1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</row>
    <row r="551" spans="1:26" ht="12.75" customHeight="1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</row>
    <row r="552" spans="1:26" ht="12.75" customHeight="1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</row>
    <row r="553" spans="1:26" ht="12.75" customHeight="1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</row>
    <row r="554" spans="1:26" ht="12.75" customHeight="1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</row>
    <row r="555" spans="1:26" ht="12.75" customHeight="1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</row>
    <row r="556" spans="1:26" ht="12.75" customHeight="1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</row>
    <row r="557" spans="1:26" ht="12.75" customHeight="1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</row>
    <row r="558" spans="1:26" ht="12.75" customHeight="1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</row>
    <row r="559" spans="1:26" ht="12.75" customHeight="1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</row>
    <row r="560" spans="1:26" ht="12.75" customHeight="1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</row>
    <row r="561" spans="1:26" ht="12.75" customHeight="1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</row>
    <row r="562" spans="1:26" ht="12.75" customHeight="1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</row>
    <row r="563" spans="1:26" ht="12.75" customHeight="1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</row>
    <row r="564" spans="1:26" ht="12.75" customHeight="1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</row>
    <row r="565" spans="1:26" ht="12.75" customHeight="1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</row>
    <row r="566" spans="1:26" ht="12.75" customHeight="1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</row>
    <row r="567" spans="1:26" ht="12.75" customHeight="1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</row>
    <row r="568" spans="1:26" ht="12.75" customHeight="1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</row>
    <row r="569" spans="1:26" ht="12.75" customHeight="1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</row>
    <row r="570" spans="1:26" ht="12.75" customHeight="1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</row>
    <row r="571" spans="1:26" ht="12.75" customHeight="1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</row>
    <row r="572" spans="1:26" ht="12.75" customHeight="1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</row>
    <row r="573" spans="1:26" ht="12.75" customHeight="1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</row>
    <row r="574" spans="1:26" ht="12.75" customHeight="1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</row>
    <row r="575" spans="1:26" ht="12.75" customHeight="1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</row>
    <row r="576" spans="1:26" ht="12.75" customHeight="1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</row>
    <row r="577" spans="1:26" ht="12.75" customHeight="1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</row>
    <row r="578" spans="1:26" ht="12.75" customHeight="1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</row>
    <row r="579" spans="1:26" ht="12.75" customHeight="1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</row>
    <row r="580" spans="1:26" ht="12.75" customHeight="1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</row>
    <row r="581" spans="1:26" ht="12.75" customHeight="1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</row>
    <row r="582" spans="1:26" ht="12.75" customHeight="1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</row>
    <row r="583" spans="1:26" ht="12.75" customHeight="1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</row>
    <row r="584" spans="1:26" ht="12.75" customHeight="1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</row>
    <row r="585" spans="1:26" ht="12.75" customHeight="1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</row>
    <row r="586" spans="1:26" ht="12.75" customHeight="1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</row>
    <row r="587" spans="1:26" ht="12.75" customHeight="1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</row>
    <row r="588" spans="1:26" ht="12.75" customHeight="1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</row>
    <row r="589" spans="1:26" ht="12.75" customHeight="1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</row>
    <row r="590" spans="1:26" ht="12.75" customHeight="1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</row>
    <row r="591" spans="1:26" ht="12.75" customHeight="1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</row>
    <row r="592" spans="1:26" ht="12.75" customHeight="1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</row>
    <row r="593" spans="1:26" ht="12.75" customHeight="1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</row>
    <row r="594" spans="1:26" ht="12.75" customHeight="1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</row>
    <row r="595" spans="1:26" ht="12.75" customHeight="1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</row>
    <row r="596" spans="1:26" ht="12.75" customHeight="1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</row>
    <row r="597" spans="1:26" ht="12.75" customHeight="1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</row>
    <row r="598" spans="1:26" ht="12.75" customHeight="1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</row>
    <row r="599" spans="1:26" ht="12.75" customHeight="1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</row>
    <row r="600" spans="1:26" ht="12.75" customHeight="1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</row>
    <row r="601" spans="1:26" ht="12.75" customHeight="1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</row>
    <row r="602" spans="1:26" ht="12.75" customHeight="1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</row>
    <row r="603" spans="1:26" ht="12.75" customHeight="1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</row>
    <row r="604" spans="1:26" ht="12.75" customHeight="1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</row>
    <row r="605" spans="1:26" ht="12.75" customHeight="1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</row>
    <row r="606" spans="1:26" ht="12.75" customHeight="1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</row>
    <row r="607" spans="1:26" ht="12.75" customHeight="1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</row>
    <row r="608" spans="1:26" ht="12.75" customHeight="1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</row>
    <row r="609" spans="1:26" ht="12.75" customHeight="1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</row>
    <row r="610" spans="1:26" ht="12.75" customHeight="1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</row>
    <row r="611" spans="1:26" ht="12.75" customHeight="1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</row>
    <row r="612" spans="1:26" ht="12.75" customHeight="1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</row>
    <row r="613" spans="1:26" ht="12.75" customHeight="1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</row>
    <row r="614" spans="1:26" ht="12.75" customHeight="1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</row>
    <row r="615" spans="1:26" ht="12.75" customHeight="1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</row>
    <row r="616" spans="1:26" ht="12.75" customHeight="1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</row>
    <row r="617" spans="1:26" ht="12.75" customHeight="1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</row>
    <row r="618" spans="1:26" ht="12.75" customHeight="1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</row>
    <row r="619" spans="1:26" ht="12.75" customHeight="1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</row>
    <row r="620" spans="1:26" ht="12.75" customHeight="1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</row>
    <row r="621" spans="1:26" ht="12.75" customHeight="1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</row>
    <row r="622" spans="1:26" ht="12.75" customHeight="1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</row>
    <row r="623" spans="1:26" ht="12.75" customHeight="1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</row>
    <row r="624" spans="1:26" ht="12.75" customHeight="1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</row>
    <row r="625" spans="1:26" ht="12.75" customHeight="1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</row>
    <row r="626" spans="1:26" ht="12.75" customHeight="1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</row>
    <row r="627" spans="1:26" ht="12.75" customHeight="1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</row>
    <row r="628" spans="1:26" ht="12.75" customHeight="1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</row>
    <row r="629" spans="1:26" ht="12.75" customHeight="1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</row>
    <row r="630" spans="1:26" ht="12.75" customHeight="1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</row>
    <row r="631" spans="1:26" ht="12.75" customHeight="1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</row>
    <row r="632" spans="1:26" ht="12.75" customHeight="1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</row>
    <row r="633" spans="1:26" ht="12.75" customHeight="1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</row>
    <row r="634" spans="1:26" ht="12.75" customHeight="1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</row>
    <row r="635" spans="1:26" ht="12.75" customHeight="1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</row>
    <row r="636" spans="1:26" ht="12.75" customHeight="1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</row>
    <row r="637" spans="1:26" ht="12.75" customHeight="1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</row>
    <row r="638" spans="1:26" ht="12.75" customHeight="1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</row>
    <row r="639" spans="1:26" ht="12.75" customHeight="1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</row>
    <row r="640" spans="1:26" ht="12.75" customHeight="1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</row>
    <row r="641" spans="1:26" ht="12.75" customHeight="1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</row>
    <row r="642" spans="1:26" ht="12.75" customHeight="1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</row>
    <row r="643" spans="1:26" ht="12.75" customHeight="1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</row>
    <row r="644" spans="1:26" ht="12.75" customHeight="1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</row>
    <row r="645" spans="1:26" ht="12.75" customHeight="1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</row>
    <row r="646" spans="1:26" ht="12.75" customHeight="1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</row>
    <row r="647" spans="1:26" ht="12.75" customHeight="1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</row>
    <row r="648" spans="1:26" ht="12.75" customHeight="1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</row>
    <row r="649" spans="1:26" ht="12.75" customHeight="1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</row>
    <row r="650" spans="1:26" ht="12.75" customHeight="1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</row>
    <row r="651" spans="1:26" ht="12.75" customHeight="1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</row>
    <row r="652" spans="1:26" ht="12.75" customHeight="1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</row>
    <row r="653" spans="1:26" ht="12.75" customHeight="1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</row>
    <row r="654" spans="1:26" ht="12.75" customHeight="1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</row>
    <row r="655" spans="1:26" ht="12.75" customHeight="1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</row>
    <row r="656" spans="1:26" ht="12.75" customHeight="1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</row>
    <row r="657" spans="1:26" ht="12.75" customHeight="1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</row>
    <row r="658" spans="1:26" ht="12.75" customHeight="1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</row>
    <row r="659" spans="1:26" ht="12.75" customHeight="1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</row>
    <row r="660" spans="1:26" ht="12.75" customHeight="1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</row>
    <row r="661" spans="1:26" ht="12.75" customHeight="1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</row>
    <row r="662" spans="1:26" ht="12.75" customHeight="1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</row>
    <row r="663" spans="1:26" ht="12.75" customHeight="1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</row>
    <row r="664" spans="1:26" ht="12.75" customHeight="1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</row>
    <row r="665" spans="1:26" ht="12.75" customHeight="1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</row>
    <row r="666" spans="1:26" ht="12.75" customHeight="1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</row>
    <row r="667" spans="1:26" ht="12.75" customHeight="1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</row>
    <row r="668" spans="1:26" ht="12.75" customHeight="1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</row>
    <row r="669" spans="1:26" ht="12.75" customHeight="1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</row>
    <row r="670" spans="1:26" ht="12.75" customHeight="1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</row>
    <row r="671" spans="1:26" ht="12.75" customHeight="1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</row>
    <row r="672" spans="1:26" ht="12.75" customHeight="1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</row>
    <row r="673" spans="1:26" ht="12.75" customHeight="1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</row>
    <row r="674" spans="1:26" ht="12.75" customHeight="1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</row>
    <row r="675" spans="1:26" ht="12.75" customHeight="1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</row>
    <row r="676" spans="1:26" ht="12.75" customHeight="1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</row>
    <row r="677" spans="1:26" ht="12.75" customHeight="1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</row>
    <row r="678" spans="1:26" ht="12.75" customHeight="1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</row>
    <row r="679" spans="1:26" ht="12.75" customHeight="1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</row>
    <row r="680" spans="1:26" ht="12.75" customHeight="1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</row>
    <row r="681" spans="1:26" ht="12.75" customHeight="1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</row>
    <row r="682" spans="1:26" ht="12.75" customHeight="1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</row>
    <row r="683" spans="1:26" ht="12.75" customHeight="1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</row>
    <row r="684" spans="1:26" ht="12.75" customHeight="1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</row>
    <row r="685" spans="1:26" ht="12.75" customHeight="1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</row>
    <row r="686" spans="1:26" ht="12.75" customHeight="1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</row>
    <row r="687" spans="1:26" ht="12.75" customHeight="1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</row>
    <row r="688" spans="1:26" ht="12.75" customHeight="1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</row>
    <row r="689" spans="1:26" ht="12.75" customHeight="1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</row>
    <row r="690" spans="1:26" ht="12.75" customHeight="1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</row>
    <row r="691" spans="1:26" ht="12.75" customHeight="1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</row>
    <row r="692" spans="1:26" ht="12.75" customHeight="1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</row>
    <row r="693" spans="1:26" ht="12.75" customHeight="1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</row>
    <row r="694" spans="1:26" ht="12.75" customHeight="1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</row>
    <row r="695" spans="1:26" ht="12.75" customHeight="1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</row>
    <row r="696" spans="1:26" ht="12.75" customHeight="1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</row>
    <row r="697" spans="1:26" ht="12.75" customHeight="1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</row>
    <row r="698" spans="1:26" ht="12.75" customHeight="1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</row>
    <row r="699" spans="1:26" ht="12.75" customHeight="1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</row>
    <row r="700" spans="1:26" ht="12.75" customHeight="1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</row>
    <row r="701" spans="1:26" ht="12.75" customHeight="1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</row>
    <row r="702" spans="1:26" ht="12.75" customHeight="1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</row>
    <row r="703" spans="1:26" ht="12.75" customHeight="1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</row>
    <row r="704" spans="1:26" ht="12.75" customHeight="1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</row>
    <row r="705" spans="1:26" ht="12.75" customHeight="1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</row>
    <row r="706" spans="1:26" ht="12.75" customHeight="1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</row>
    <row r="707" spans="1:26" ht="12.75" customHeight="1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</row>
    <row r="708" spans="1:26" ht="12.75" customHeight="1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</row>
    <row r="709" spans="1:26" ht="12.75" customHeight="1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</row>
    <row r="710" spans="1:26" ht="12.75" customHeight="1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</row>
    <row r="711" spans="1:26" ht="12.75" customHeight="1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</row>
    <row r="712" spans="1:26" ht="12.75" customHeight="1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</row>
    <row r="713" spans="1:26" ht="12.75" customHeight="1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</row>
    <row r="714" spans="1:26" ht="12.75" customHeight="1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</row>
    <row r="715" spans="1:26" ht="12.75" customHeight="1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</row>
    <row r="716" spans="1:26" ht="12.75" customHeight="1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</row>
    <row r="717" spans="1:26" ht="12.75" customHeight="1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</row>
    <row r="718" spans="1:26" ht="12.75" customHeight="1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</row>
    <row r="719" spans="1:26" ht="12.75" customHeight="1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</row>
    <row r="720" spans="1:26" ht="12.75" customHeight="1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</row>
    <row r="721" spans="1:26" ht="12.75" customHeight="1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</row>
    <row r="722" spans="1:26" ht="12.75" customHeight="1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</row>
    <row r="723" spans="1:26" ht="12.75" customHeight="1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</row>
    <row r="724" spans="1:26" ht="12.75" customHeight="1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</row>
    <row r="725" spans="1:26" ht="12.75" customHeight="1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</row>
    <row r="726" spans="1:26" ht="12.75" customHeight="1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</row>
    <row r="727" spans="1:26" ht="12.75" customHeight="1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</row>
    <row r="728" spans="1:26" ht="12.75" customHeight="1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</row>
    <row r="729" spans="1:26" ht="12.75" customHeight="1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</row>
    <row r="730" spans="1:26" ht="12.75" customHeight="1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</row>
    <row r="731" spans="1:26" ht="12.75" customHeight="1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</row>
    <row r="732" spans="1:26" ht="12.75" customHeight="1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</row>
    <row r="733" spans="1:26" ht="12.75" customHeight="1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</row>
    <row r="734" spans="1:26" ht="12.75" customHeight="1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</row>
    <row r="735" spans="1:26" ht="12.75" customHeight="1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</row>
    <row r="736" spans="1:26" ht="12.75" customHeight="1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</row>
    <row r="737" spans="1:26" ht="12.75" customHeight="1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</row>
    <row r="738" spans="1:26" ht="12.75" customHeight="1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</row>
    <row r="739" spans="1:26" ht="12.75" customHeight="1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</row>
    <row r="740" spans="1:26" ht="12.75" customHeight="1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</row>
    <row r="741" spans="1:26" ht="12.75" customHeight="1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  <c r="Y741" s="96"/>
      <c r="Z741" s="96"/>
    </row>
    <row r="742" spans="1:26" ht="12.75" customHeight="1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  <c r="Y742" s="96"/>
      <c r="Z742" s="96"/>
    </row>
    <row r="743" spans="1:26" ht="12.75" customHeight="1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  <c r="Y743" s="96"/>
      <c r="Z743" s="96"/>
    </row>
    <row r="744" spans="1:26" ht="12.75" customHeight="1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  <c r="Y744" s="96"/>
      <c r="Z744" s="96"/>
    </row>
    <row r="745" spans="1:26" ht="12.75" customHeight="1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  <c r="Y745" s="96"/>
      <c r="Z745" s="96"/>
    </row>
    <row r="746" spans="1:26" ht="12.75" customHeight="1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  <c r="Y746" s="96"/>
      <c r="Z746" s="96"/>
    </row>
    <row r="747" spans="1:26" ht="12.75" customHeight="1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  <c r="Y747" s="96"/>
      <c r="Z747" s="96"/>
    </row>
    <row r="748" spans="1:26" ht="12.75" customHeight="1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  <c r="Y748" s="96"/>
      <c r="Z748" s="96"/>
    </row>
    <row r="749" spans="1:26" ht="12.75" customHeight="1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  <c r="Y749" s="96"/>
      <c r="Z749" s="96"/>
    </row>
    <row r="750" spans="1:26" ht="12.75" customHeight="1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  <c r="Y750" s="96"/>
      <c r="Z750" s="96"/>
    </row>
    <row r="751" spans="1:26" ht="12.75" customHeight="1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  <c r="Y751" s="96"/>
      <c r="Z751" s="96"/>
    </row>
    <row r="752" spans="1:26" ht="12.75" customHeight="1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  <c r="Y752" s="96"/>
      <c r="Z752" s="96"/>
    </row>
    <row r="753" spans="1:26" ht="12.75" customHeight="1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  <c r="Y753" s="96"/>
      <c r="Z753" s="96"/>
    </row>
    <row r="754" spans="1:26" ht="12.75" customHeight="1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  <c r="Y754" s="96"/>
      <c r="Z754" s="96"/>
    </row>
    <row r="755" spans="1:26" ht="12.75" customHeight="1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  <c r="Y755" s="96"/>
      <c r="Z755" s="96"/>
    </row>
    <row r="756" spans="1:26" ht="12.75" customHeight="1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  <c r="Y756" s="96"/>
      <c r="Z756" s="96"/>
    </row>
    <row r="757" spans="1:26" ht="12.75" customHeight="1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  <c r="Y757" s="96"/>
      <c r="Z757" s="96"/>
    </row>
    <row r="758" spans="1:26" ht="12.75" customHeight="1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  <c r="Y758" s="96"/>
      <c r="Z758" s="96"/>
    </row>
    <row r="759" spans="1:26" ht="12.75" customHeight="1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  <c r="Y759" s="96"/>
      <c r="Z759" s="96"/>
    </row>
    <row r="760" spans="1:26" ht="12.75" customHeight="1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  <c r="Y760" s="96"/>
      <c r="Z760" s="96"/>
    </row>
    <row r="761" spans="1:26" ht="12.75" customHeight="1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  <c r="Y761" s="96"/>
      <c r="Z761" s="96"/>
    </row>
    <row r="762" spans="1:26" ht="12.75" customHeight="1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  <c r="Y762" s="96"/>
      <c r="Z762" s="96"/>
    </row>
    <row r="763" spans="1:26" ht="12.75" customHeight="1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  <c r="Y763" s="96"/>
      <c r="Z763" s="96"/>
    </row>
    <row r="764" spans="1:26" ht="12.75" customHeight="1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  <c r="Y764" s="96"/>
      <c r="Z764" s="96"/>
    </row>
    <row r="765" spans="1:26" ht="12.75" customHeight="1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  <c r="Y765" s="96"/>
      <c r="Z765" s="96"/>
    </row>
    <row r="766" spans="1:26" ht="12.75" customHeight="1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  <c r="Y766" s="96"/>
      <c r="Z766" s="96"/>
    </row>
    <row r="767" spans="1:26" ht="12.75" customHeight="1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  <c r="Y767" s="96"/>
      <c r="Z767" s="96"/>
    </row>
    <row r="768" spans="1:26" ht="12.75" customHeight="1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  <c r="Y768" s="96"/>
      <c r="Z768" s="96"/>
    </row>
    <row r="769" spans="1:26" ht="12.75" customHeight="1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  <c r="Y769" s="96"/>
      <c r="Z769" s="96"/>
    </row>
    <row r="770" spans="1:26" ht="12.75" customHeight="1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  <c r="Y770" s="96"/>
      <c r="Z770" s="96"/>
    </row>
    <row r="771" spans="1:26" ht="12.75" customHeight="1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  <c r="Y771" s="96"/>
      <c r="Z771" s="96"/>
    </row>
    <row r="772" spans="1:26" ht="12.75" customHeight="1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  <c r="Y772" s="96"/>
      <c r="Z772" s="96"/>
    </row>
    <row r="773" spans="1:26" ht="12.75" customHeight="1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  <c r="Y773" s="96"/>
      <c r="Z773" s="96"/>
    </row>
    <row r="774" spans="1:26" ht="12.75" customHeight="1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  <c r="Y774" s="96"/>
      <c r="Z774" s="96"/>
    </row>
    <row r="775" spans="1:26" ht="12.75" customHeight="1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  <c r="Y775" s="96"/>
      <c r="Z775" s="96"/>
    </row>
    <row r="776" spans="1:26" ht="12.75" customHeight="1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  <c r="Y776" s="96"/>
      <c r="Z776" s="96"/>
    </row>
    <row r="777" spans="1:26" ht="12.75" customHeight="1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  <c r="Y777" s="96"/>
      <c r="Z777" s="96"/>
    </row>
    <row r="778" spans="1:26" ht="12.75" customHeight="1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  <c r="Y778" s="96"/>
      <c r="Z778" s="96"/>
    </row>
    <row r="779" spans="1:26" ht="12.75" customHeight="1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  <c r="Y779" s="96"/>
      <c r="Z779" s="96"/>
    </row>
    <row r="780" spans="1:26" ht="12.75" customHeight="1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  <c r="Y780" s="96"/>
      <c r="Z780" s="96"/>
    </row>
    <row r="781" spans="1:26" ht="12.75" customHeight="1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  <c r="Y781" s="96"/>
      <c r="Z781" s="96"/>
    </row>
    <row r="782" spans="1:26" ht="12.75" customHeight="1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  <c r="Y782" s="96"/>
      <c r="Z782" s="96"/>
    </row>
    <row r="783" spans="1:26" ht="12.75" customHeight="1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  <c r="Y783" s="96"/>
      <c r="Z783" s="96"/>
    </row>
    <row r="784" spans="1:26" ht="12.75" customHeight="1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  <c r="Y784" s="96"/>
      <c r="Z784" s="96"/>
    </row>
    <row r="785" spans="1:26" ht="12.75" customHeight="1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  <c r="Y785" s="96"/>
      <c r="Z785" s="96"/>
    </row>
    <row r="786" spans="1:26" ht="12.75" customHeight="1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  <c r="Y786" s="96"/>
      <c r="Z786" s="96"/>
    </row>
    <row r="787" spans="1:26" ht="12.75" customHeight="1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  <c r="Y787" s="96"/>
      <c r="Z787" s="96"/>
    </row>
    <row r="788" spans="1:26" ht="12.75" customHeight="1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  <c r="Y788" s="96"/>
      <c r="Z788" s="96"/>
    </row>
    <row r="789" spans="1:26" ht="12.75" customHeight="1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  <c r="Y789" s="96"/>
      <c r="Z789" s="96"/>
    </row>
    <row r="790" spans="1:26" ht="12.75" customHeight="1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  <c r="Y790" s="96"/>
      <c r="Z790" s="96"/>
    </row>
    <row r="791" spans="1:26" ht="12.75" customHeight="1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  <c r="Y791" s="96"/>
      <c r="Z791" s="96"/>
    </row>
    <row r="792" spans="1:26" ht="12.75" customHeight="1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  <c r="Y792" s="96"/>
      <c r="Z792" s="96"/>
    </row>
    <row r="793" spans="1:26" ht="12.75" customHeight="1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  <c r="Y793" s="96"/>
      <c r="Z793" s="96"/>
    </row>
    <row r="794" spans="1:26" ht="12.75" customHeight="1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  <c r="Y794" s="96"/>
      <c r="Z794" s="96"/>
    </row>
    <row r="795" spans="1:26" ht="12.75" customHeight="1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  <c r="Y795" s="96"/>
      <c r="Z795" s="96"/>
    </row>
    <row r="796" spans="1:26" ht="12.75" customHeight="1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  <c r="Y796" s="96"/>
      <c r="Z796" s="96"/>
    </row>
    <row r="797" spans="1:26" ht="12.75" customHeight="1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  <c r="Y797" s="96"/>
      <c r="Z797" s="96"/>
    </row>
    <row r="798" spans="1:26" ht="12.75" customHeight="1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  <c r="Y798" s="96"/>
      <c r="Z798" s="96"/>
    </row>
    <row r="799" spans="1:26" ht="12.75" customHeight="1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  <c r="Y799" s="96"/>
      <c r="Z799" s="96"/>
    </row>
    <row r="800" spans="1:26" ht="12.75" customHeight="1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  <c r="Y800" s="96"/>
      <c r="Z800" s="96"/>
    </row>
    <row r="801" spans="1:26" ht="12.75" customHeight="1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  <c r="Y801" s="96"/>
      <c r="Z801" s="96"/>
    </row>
    <row r="802" spans="1:26" ht="12.75" customHeight="1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  <c r="Y802" s="96"/>
      <c r="Z802" s="96"/>
    </row>
    <row r="803" spans="1:26" ht="12.75" customHeight="1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  <c r="Y803" s="96"/>
      <c r="Z803" s="96"/>
    </row>
    <row r="804" spans="1:26" ht="12.75" customHeight="1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  <c r="Y804" s="96"/>
      <c r="Z804" s="96"/>
    </row>
    <row r="805" spans="1:26" ht="12.75" customHeight="1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  <c r="Y805" s="96"/>
      <c r="Z805" s="96"/>
    </row>
    <row r="806" spans="1:26" ht="12.75" customHeight="1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  <c r="Y806" s="96"/>
      <c r="Z806" s="96"/>
    </row>
    <row r="807" spans="1:26" ht="12.75" customHeight="1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  <c r="Y807" s="96"/>
      <c r="Z807" s="96"/>
    </row>
    <row r="808" spans="1:26" ht="12.75" customHeight="1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  <c r="Y808" s="96"/>
      <c r="Z808" s="96"/>
    </row>
    <row r="809" spans="1:26" ht="12.75" customHeight="1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  <c r="Y809" s="96"/>
      <c r="Z809" s="96"/>
    </row>
    <row r="810" spans="1:26" ht="12.75" customHeight="1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  <c r="Y810" s="96"/>
      <c r="Z810" s="96"/>
    </row>
    <row r="811" spans="1:26" ht="12.75" customHeight="1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  <c r="Y811" s="96"/>
      <c r="Z811" s="96"/>
    </row>
    <row r="812" spans="1:26" ht="12.75" customHeight="1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  <c r="Y812" s="96"/>
      <c r="Z812" s="96"/>
    </row>
    <row r="813" spans="1:26" ht="12.75" customHeight="1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  <c r="Y813" s="96"/>
      <c r="Z813" s="96"/>
    </row>
    <row r="814" spans="1:26" ht="12.75" customHeight="1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  <c r="Y814" s="96"/>
      <c r="Z814" s="96"/>
    </row>
    <row r="815" spans="1:26" ht="12.75" customHeight="1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  <c r="Y815" s="96"/>
      <c r="Z815" s="96"/>
    </row>
    <row r="816" spans="1:26" ht="12.75" customHeight="1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  <c r="Y816" s="96"/>
      <c r="Z816" s="96"/>
    </row>
    <row r="817" spans="1:26" ht="12.75" customHeight="1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  <c r="Y817" s="96"/>
      <c r="Z817" s="96"/>
    </row>
    <row r="818" spans="1:26" ht="12.75" customHeight="1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  <c r="Y818" s="96"/>
      <c r="Z818" s="96"/>
    </row>
    <row r="819" spans="1:26" ht="12.75" customHeight="1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  <c r="Y819" s="96"/>
      <c r="Z819" s="96"/>
    </row>
    <row r="820" spans="1:26" ht="12.75" customHeight="1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  <c r="Y820" s="96"/>
      <c r="Z820" s="96"/>
    </row>
    <row r="821" spans="1:26" ht="12.75" customHeight="1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  <c r="Y821" s="96"/>
      <c r="Z821" s="96"/>
    </row>
    <row r="822" spans="1:26" ht="12.75" customHeight="1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  <c r="Y822" s="96"/>
      <c r="Z822" s="96"/>
    </row>
    <row r="823" spans="1:26" ht="12.75" customHeight="1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  <c r="Y823" s="96"/>
      <c r="Z823" s="96"/>
    </row>
    <row r="824" spans="1:26" ht="12.75" customHeight="1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  <c r="Y824" s="96"/>
      <c r="Z824" s="96"/>
    </row>
    <row r="825" spans="1:26" ht="12.75" customHeight="1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  <c r="Y825" s="96"/>
      <c r="Z825" s="96"/>
    </row>
    <row r="826" spans="1:26" ht="12.75" customHeight="1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  <c r="Y826" s="96"/>
      <c r="Z826" s="96"/>
    </row>
    <row r="827" spans="1:26" ht="12.75" customHeight="1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  <c r="Y827" s="96"/>
      <c r="Z827" s="96"/>
    </row>
    <row r="828" spans="1:26" ht="12.75" customHeight="1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  <c r="Y828" s="96"/>
      <c r="Z828" s="96"/>
    </row>
    <row r="829" spans="1:26" ht="12.75" customHeight="1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  <c r="Y829" s="96"/>
      <c r="Z829" s="96"/>
    </row>
    <row r="830" spans="1:26" ht="12.75" customHeight="1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  <c r="Y830" s="96"/>
      <c r="Z830" s="96"/>
    </row>
    <row r="831" spans="1:26" ht="12.75" customHeight="1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  <c r="Y831" s="96"/>
      <c r="Z831" s="96"/>
    </row>
    <row r="832" spans="1:26" ht="12.75" customHeight="1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  <c r="Y832" s="96"/>
      <c r="Z832" s="96"/>
    </row>
    <row r="833" spans="1:26" ht="12.75" customHeight="1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  <c r="Y833" s="96"/>
      <c r="Z833" s="96"/>
    </row>
    <row r="834" spans="1:26" ht="12.75" customHeight="1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  <c r="Y834" s="96"/>
      <c r="Z834" s="96"/>
    </row>
    <row r="835" spans="1:26" ht="12.75" customHeight="1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  <c r="Y835" s="96"/>
      <c r="Z835" s="96"/>
    </row>
    <row r="836" spans="1:26" ht="12.75" customHeight="1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  <c r="Y836" s="96"/>
      <c r="Z836" s="96"/>
    </row>
    <row r="837" spans="1:26" ht="12.75" customHeight="1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  <c r="Y837" s="96"/>
      <c r="Z837" s="96"/>
    </row>
    <row r="838" spans="1:26" ht="12.75" customHeight="1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  <c r="Y838" s="96"/>
      <c r="Z838" s="96"/>
    </row>
    <row r="839" spans="1:26" ht="12.75" customHeight="1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  <c r="Y839" s="96"/>
      <c r="Z839" s="96"/>
    </row>
    <row r="840" spans="1:26" ht="12.75" customHeight="1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  <c r="Y840" s="96"/>
      <c r="Z840" s="96"/>
    </row>
    <row r="841" spans="1:26" ht="12.75" customHeight="1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  <c r="Y841" s="96"/>
      <c r="Z841" s="96"/>
    </row>
    <row r="842" spans="1:26" ht="12.75" customHeight="1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  <c r="Y842" s="96"/>
      <c r="Z842" s="96"/>
    </row>
    <row r="843" spans="1:26" ht="12.75" customHeight="1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  <c r="Y843" s="96"/>
      <c r="Z843" s="96"/>
    </row>
    <row r="844" spans="1:26" ht="12.75" customHeight="1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  <c r="Y844" s="96"/>
      <c r="Z844" s="96"/>
    </row>
    <row r="845" spans="1:26" ht="12.75" customHeight="1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  <c r="Y845" s="96"/>
      <c r="Z845" s="96"/>
    </row>
    <row r="846" spans="1:26" ht="12.75" customHeight="1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  <c r="Y846" s="96"/>
      <c r="Z846" s="96"/>
    </row>
    <row r="847" spans="1:26" ht="12.75" customHeight="1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  <c r="Y847" s="96"/>
      <c r="Z847" s="96"/>
    </row>
    <row r="848" spans="1:26" ht="12.75" customHeight="1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  <c r="Y848" s="96"/>
      <c r="Z848" s="96"/>
    </row>
    <row r="849" spans="1:26" ht="12.75" customHeight="1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  <c r="Y849" s="96"/>
      <c r="Z849" s="96"/>
    </row>
    <row r="850" spans="1:26" ht="12.75" customHeight="1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  <c r="Y850" s="96"/>
      <c r="Z850" s="96"/>
    </row>
    <row r="851" spans="1:26" ht="12.75" customHeight="1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  <c r="Y851" s="96"/>
      <c r="Z851" s="96"/>
    </row>
    <row r="852" spans="1:26" ht="12.75" customHeight="1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  <c r="Y852" s="96"/>
      <c r="Z852" s="96"/>
    </row>
    <row r="853" spans="1:26" ht="12.75" customHeight="1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  <c r="Y853" s="96"/>
      <c r="Z853" s="96"/>
    </row>
    <row r="854" spans="1:26" ht="12.75" customHeight="1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  <c r="Y854" s="96"/>
      <c r="Z854" s="96"/>
    </row>
    <row r="855" spans="1:26" ht="12.75" customHeight="1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  <c r="Y855" s="96"/>
      <c r="Z855" s="96"/>
    </row>
    <row r="856" spans="1:26" ht="12.75" customHeight="1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  <c r="Y856" s="96"/>
      <c r="Z856" s="96"/>
    </row>
    <row r="857" spans="1:26" ht="12.75" customHeight="1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  <c r="Y857" s="96"/>
      <c r="Z857" s="96"/>
    </row>
    <row r="858" spans="1:26" ht="12.75" customHeight="1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  <c r="Y858" s="96"/>
      <c r="Z858" s="96"/>
    </row>
    <row r="859" spans="1:26" ht="12.75" customHeight="1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  <c r="Y859" s="96"/>
      <c r="Z859" s="96"/>
    </row>
    <row r="860" spans="1:26" ht="12.75" customHeight="1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  <c r="Y860" s="96"/>
      <c r="Z860" s="96"/>
    </row>
    <row r="861" spans="1:26" ht="12.75" customHeight="1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  <c r="Y861" s="96"/>
      <c r="Z861" s="96"/>
    </row>
    <row r="862" spans="1:26" ht="12.75" customHeight="1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  <c r="Y862" s="96"/>
      <c r="Z862" s="96"/>
    </row>
    <row r="863" spans="1:26" ht="12.75" customHeight="1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  <c r="Y863" s="96"/>
      <c r="Z863" s="96"/>
    </row>
    <row r="864" spans="1:26" ht="12.75" customHeight="1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  <c r="Y864" s="96"/>
      <c r="Z864" s="96"/>
    </row>
    <row r="865" spans="1:26" ht="12.75" customHeight="1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  <c r="Y865" s="96"/>
      <c r="Z865" s="96"/>
    </row>
    <row r="866" spans="1:26" ht="12.75" customHeight="1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  <c r="Y866" s="96"/>
      <c r="Z866" s="96"/>
    </row>
    <row r="867" spans="1:26" ht="12.75" customHeight="1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  <c r="Y867" s="96"/>
      <c r="Z867" s="96"/>
    </row>
    <row r="868" spans="1:26" ht="12.75" customHeight="1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  <c r="Y868" s="96"/>
      <c r="Z868" s="96"/>
    </row>
    <row r="869" spans="1:26" ht="12.75" customHeight="1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  <c r="Y869" s="96"/>
      <c r="Z869" s="96"/>
    </row>
    <row r="870" spans="1:26" ht="12.75" customHeight="1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  <c r="Y870" s="96"/>
      <c r="Z870" s="96"/>
    </row>
    <row r="871" spans="1:26" ht="12.75" customHeight="1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  <c r="Y871" s="96"/>
      <c r="Z871" s="96"/>
    </row>
    <row r="872" spans="1:26" ht="12.75" customHeight="1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  <c r="Y872" s="96"/>
      <c r="Z872" s="96"/>
    </row>
    <row r="873" spans="1:26" ht="12.75" customHeight="1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  <c r="Y873" s="96"/>
      <c r="Z873" s="96"/>
    </row>
    <row r="874" spans="1:26" ht="12.75" customHeight="1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  <c r="Y874" s="96"/>
      <c r="Z874" s="96"/>
    </row>
    <row r="875" spans="1:26" ht="12.75" customHeight="1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  <c r="Y875" s="96"/>
      <c r="Z875" s="96"/>
    </row>
    <row r="876" spans="1:26" ht="12.75" customHeight="1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  <c r="Y876" s="96"/>
      <c r="Z876" s="96"/>
    </row>
    <row r="877" spans="1:26" ht="12.75" customHeight="1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  <c r="Y877" s="96"/>
      <c r="Z877" s="96"/>
    </row>
    <row r="878" spans="1:26" ht="12.75" customHeight="1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  <c r="Y878" s="96"/>
      <c r="Z878" s="96"/>
    </row>
    <row r="879" spans="1:26" ht="12.75" customHeight="1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  <c r="Y879" s="96"/>
      <c r="Z879" s="96"/>
    </row>
    <row r="880" spans="1:26" ht="12.75" customHeight="1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  <c r="Y880" s="96"/>
      <c r="Z880" s="96"/>
    </row>
    <row r="881" spans="1:26" ht="12.75" customHeight="1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  <c r="Y881" s="96"/>
      <c r="Z881" s="96"/>
    </row>
    <row r="882" spans="1:26" ht="12.75" customHeight="1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  <c r="Y882" s="96"/>
      <c r="Z882" s="96"/>
    </row>
    <row r="883" spans="1:26" ht="12.75" customHeight="1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  <c r="Y883" s="96"/>
      <c r="Z883" s="96"/>
    </row>
    <row r="884" spans="1:26" ht="12.75" customHeight="1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  <c r="Y884" s="96"/>
      <c r="Z884" s="96"/>
    </row>
    <row r="885" spans="1:26" ht="12.75" customHeight="1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  <c r="Y885" s="96"/>
      <c r="Z885" s="96"/>
    </row>
    <row r="886" spans="1:26" ht="12.75" customHeight="1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  <c r="Y886" s="96"/>
      <c r="Z886" s="96"/>
    </row>
    <row r="887" spans="1:26" ht="12.75" customHeight="1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  <c r="Y887" s="96"/>
      <c r="Z887" s="96"/>
    </row>
    <row r="888" spans="1:26" ht="12.75" customHeight="1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  <c r="Y888" s="96"/>
      <c r="Z888" s="96"/>
    </row>
    <row r="889" spans="1:26" ht="12.75" customHeight="1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  <c r="Y889" s="96"/>
      <c r="Z889" s="96"/>
    </row>
    <row r="890" spans="1:26" ht="12.75" customHeight="1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  <c r="Y890" s="96"/>
      <c r="Z890" s="96"/>
    </row>
    <row r="891" spans="1:26" ht="12.75" customHeight="1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  <c r="Y891" s="96"/>
      <c r="Z891" s="96"/>
    </row>
    <row r="892" spans="1:26" ht="12.75" customHeight="1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  <c r="Y892" s="96"/>
      <c r="Z892" s="96"/>
    </row>
    <row r="893" spans="1:26" ht="12.75" customHeight="1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  <c r="Y893" s="96"/>
      <c r="Z893" s="96"/>
    </row>
    <row r="894" spans="1:26" ht="12.75" customHeight="1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  <c r="Y894" s="96"/>
      <c r="Z894" s="96"/>
    </row>
    <row r="895" spans="1:26" ht="12.75" customHeight="1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  <c r="Y895" s="96"/>
      <c r="Z895" s="96"/>
    </row>
    <row r="896" spans="1:26" ht="12.75" customHeight="1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  <c r="Y896" s="96"/>
      <c r="Z896" s="96"/>
    </row>
    <row r="897" spans="1:26" ht="12.75" customHeight="1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  <c r="Y897" s="96"/>
      <c r="Z897" s="96"/>
    </row>
    <row r="898" spans="1:26" ht="12.75" customHeight="1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  <c r="Y898" s="96"/>
      <c r="Z898" s="96"/>
    </row>
    <row r="899" spans="1:26" ht="12.75" customHeight="1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  <c r="Y899" s="96"/>
      <c r="Z899" s="96"/>
    </row>
    <row r="900" spans="1:26" ht="12.75" customHeight="1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  <c r="Y900" s="96"/>
      <c r="Z900" s="96"/>
    </row>
    <row r="901" spans="1:26" ht="12.75" customHeight="1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  <c r="Y901" s="96"/>
      <c r="Z901" s="96"/>
    </row>
    <row r="902" spans="1:26" ht="12.75" customHeight="1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  <c r="Y902" s="96"/>
      <c r="Z902" s="96"/>
    </row>
    <row r="903" spans="1:26" ht="12.75" customHeight="1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  <c r="Y903" s="96"/>
      <c r="Z903" s="96"/>
    </row>
    <row r="904" spans="1:26" ht="12.75" customHeight="1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  <c r="Y904" s="96"/>
      <c r="Z904" s="96"/>
    </row>
    <row r="905" spans="1:26" ht="12.75" customHeight="1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  <c r="Y905" s="96"/>
      <c r="Z905" s="96"/>
    </row>
    <row r="906" spans="1:26" ht="12.75" customHeight="1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  <c r="Y906" s="96"/>
      <c r="Z906" s="96"/>
    </row>
    <row r="907" spans="1:26" ht="12.75" customHeight="1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  <c r="Y907" s="96"/>
      <c r="Z907" s="96"/>
    </row>
    <row r="908" spans="1:26" ht="12.75" customHeight="1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  <c r="Y908" s="96"/>
      <c r="Z908" s="96"/>
    </row>
    <row r="909" spans="1:26" ht="12.75" customHeight="1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  <c r="Y909" s="96"/>
      <c r="Z909" s="96"/>
    </row>
    <row r="910" spans="1:26" ht="12.75" customHeight="1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  <c r="Y910" s="96"/>
      <c r="Z910" s="96"/>
    </row>
    <row r="911" spans="1:26" ht="12.75" customHeight="1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  <c r="Y911" s="96"/>
      <c r="Z911" s="96"/>
    </row>
    <row r="912" spans="1:26" ht="12.75" customHeight="1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  <c r="Y912" s="96"/>
      <c r="Z912" s="96"/>
    </row>
    <row r="913" spans="1:26" ht="12.75" customHeight="1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  <c r="Y913" s="96"/>
      <c r="Z913" s="96"/>
    </row>
    <row r="914" spans="1:26" ht="12.75" customHeight="1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  <c r="Y914" s="96"/>
      <c r="Z914" s="96"/>
    </row>
    <row r="915" spans="1:26" ht="12.75" customHeight="1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  <c r="Y915" s="96"/>
      <c r="Z915" s="96"/>
    </row>
    <row r="916" spans="1:26" ht="12.75" customHeight="1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  <c r="Y916" s="96"/>
      <c r="Z916" s="96"/>
    </row>
    <row r="917" spans="1:26" ht="12.75" customHeight="1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  <c r="Y917" s="96"/>
      <c r="Z917" s="96"/>
    </row>
    <row r="918" spans="1:26" ht="12.75" customHeight="1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  <c r="Y918" s="96"/>
      <c r="Z918" s="96"/>
    </row>
    <row r="919" spans="1:26" ht="12.75" customHeight="1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  <c r="Y919" s="96"/>
      <c r="Z919" s="96"/>
    </row>
    <row r="920" spans="1:26" ht="12.75" customHeight="1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  <c r="Y920" s="96"/>
      <c r="Z920" s="96"/>
    </row>
    <row r="921" spans="1:26" ht="12.75" customHeight="1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  <c r="Y921" s="96"/>
      <c r="Z921" s="96"/>
    </row>
    <row r="922" spans="1:26" ht="12.75" customHeight="1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  <c r="Y922" s="96"/>
      <c r="Z922" s="96"/>
    </row>
    <row r="923" spans="1:26" ht="12.75" customHeight="1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  <c r="Y923" s="96"/>
      <c r="Z923" s="96"/>
    </row>
    <row r="924" spans="1:26" ht="12.75" customHeight="1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  <c r="Y924" s="96"/>
      <c r="Z924" s="96"/>
    </row>
    <row r="925" spans="1:26" ht="12.75" customHeight="1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  <c r="Y925" s="96"/>
      <c r="Z925" s="96"/>
    </row>
    <row r="926" spans="1:26" ht="12.75" customHeight="1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  <c r="Y926" s="96"/>
      <c r="Z926" s="96"/>
    </row>
    <row r="927" spans="1:26" ht="12.75" customHeight="1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  <c r="Y927" s="96"/>
      <c r="Z927" s="96"/>
    </row>
    <row r="928" spans="1:26" ht="12.75" customHeight="1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  <c r="Y928" s="96"/>
      <c r="Z928" s="96"/>
    </row>
    <row r="929" spans="1:26" ht="12.75" customHeight="1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  <c r="Y929" s="96"/>
      <c r="Z929" s="96"/>
    </row>
    <row r="930" spans="1:26" ht="12.75" customHeight="1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  <c r="Y930" s="96"/>
      <c r="Z930" s="96"/>
    </row>
    <row r="931" spans="1:26" ht="12.75" customHeight="1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  <c r="Y931" s="96"/>
      <c r="Z931" s="96"/>
    </row>
    <row r="932" spans="1:26" ht="12.75" customHeight="1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  <c r="Y932" s="96"/>
      <c r="Z932" s="96"/>
    </row>
    <row r="933" spans="1:26" ht="12.75" customHeight="1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  <c r="Y933" s="96"/>
      <c r="Z933" s="96"/>
    </row>
    <row r="934" spans="1:26" ht="12.75" customHeight="1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  <c r="Y934" s="96"/>
      <c r="Z934" s="96"/>
    </row>
    <row r="935" spans="1:26" ht="12.75" customHeight="1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  <c r="Y935" s="96"/>
      <c r="Z935" s="96"/>
    </row>
    <row r="936" spans="1:26" ht="12.75" customHeight="1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  <c r="Y936" s="96"/>
      <c r="Z936" s="96"/>
    </row>
    <row r="937" spans="1:26" ht="12.75" customHeight="1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  <c r="Y937" s="96"/>
      <c r="Z937" s="96"/>
    </row>
    <row r="938" spans="1:26" ht="12.75" customHeight="1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  <c r="Y938" s="96"/>
      <c r="Z938" s="96"/>
    </row>
    <row r="939" spans="1:26" ht="12.75" customHeight="1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  <c r="Y939" s="96"/>
      <c r="Z939" s="96"/>
    </row>
    <row r="940" spans="1:26" ht="12.75" customHeight="1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  <c r="Y940" s="96"/>
      <c r="Z940" s="96"/>
    </row>
    <row r="941" spans="1:26" ht="12.75" customHeight="1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  <c r="Y941" s="96"/>
      <c r="Z941" s="96"/>
    </row>
    <row r="942" spans="1:26" ht="12.75" customHeight="1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  <c r="Y942" s="96"/>
      <c r="Z942" s="96"/>
    </row>
    <row r="943" spans="1:26" ht="12.75" customHeight="1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  <c r="Y943" s="96"/>
      <c r="Z943" s="96"/>
    </row>
    <row r="944" spans="1:26" ht="12.75" customHeight="1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  <c r="Y944" s="96"/>
      <c r="Z944" s="96"/>
    </row>
    <row r="945" spans="1:26" ht="12.75" customHeight="1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  <c r="Y945" s="96"/>
      <c r="Z945" s="96"/>
    </row>
    <row r="946" spans="1:26" ht="12.75" customHeight="1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  <c r="Y946" s="96"/>
      <c r="Z946" s="96"/>
    </row>
    <row r="947" spans="1:26" ht="12.75" customHeight="1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  <c r="Y947" s="96"/>
      <c r="Z947" s="96"/>
    </row>
    <row r="948" spans="1:26" ht="12.75" customHeight="1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  <c r="Y948" s="96"/>
      <c r="Z948" s="96"/>
    </row>
    <row r="949" spans="1:26" ht="12.75" customHeight="1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  <c r="Y949" s="96"/>
      <c r="Z949" s="96"/>
    </row>
    <row r="950" spans="1:26" ht="12.75" customHeight="1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  <c r="Y950" s="96"/>
      <c r="Z950" s="96"/>
    </row>
    <row r="951" spans="1:26" ht="12.75" customHeight="1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  <c r="Y951" s="96"/>
      <c r="Z951" s="96"/>
    </row>
    <row r="952" spans="1:26" ht="12.75" customHeight="1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  <c r="Y952" s="96"/>
      <c r="Z952" s="96"/>
    </row>
    <row r="953" spans="1:26" ht="12.75" customHeight="1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  <c r="Y953" s="96"/>
      <c r="Z953" s="96"/>
    </row>
    <row r="954" spans="1:26" ht="12.75" customHeight="1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  <c r="Y954" s="96"/>
      <c r="Z954" s="96"/>
    </row>
    <row r="955" spans="1:26" ht="12.75" customHeight="1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  <c r="Y955" s="96"/>
      <c r="Z955" s="96"/>
    </row>
    <row r="956" spans="1:26" ht="12.75" customHeight="1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  <c r="Y956" s="96"/>
      <c r="Z956" s="96"/>
    </row>
    <row r="957" spans="1:26" ht="12.75" customHeight="1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  <c r="Y957" s="96"/>
      <c r="Z957" s="96"/>
    </row>
    <row r="958" spans="1:26" ht="12.75" customHeight="1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  <c r="Y958" s="96"/>
      <c r="Z958" s="96"/>
    </row>
    <row r="959" spans="1:26" ht="12.75" customHeight="1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  <c r="Y959" s="96"/>
      <c r="Z959" s="96"/>
    </row>
    <row r="960" spans="1:26" ht="12.75" customHeight="1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  <c r="Y960" s="96"/>
      <c r="Z960" s="96"/>
    </row>
    <row r="961" spans="1:26" ht="12.75" customHeight="1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  <c r="Y961" s="96"/>
      <c r="Z961" s="96"/>
    </row>
    <row r="962" spans="1:26" ht="12.75" customHeight="1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  <c r="Y962" s="96"/>
      <c r="Z962" s="96"/>
    </row>
    <row r="963" spans="1:26" ht="12.75" customHeight="1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  <c r="Y963" s="96"/>
      <c r="Z963" s="96"/>
    </row>
    <row r="964" spans="1:26" ht="12.75" customHeight="1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  <c r="Y964" s="96"/>
      <c r="Z964" s="96"/>
    </row>
    <row r="965" spans="1:26" ht="12.75" customHeight="1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  <c r="Y965" s="96"/>
      <c r="Z965" s="96"/>
    </row>
    <row r="966" spans="1:26" ht="12.75" customHeight="1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  <c r="Y966" s="96"/>
      <c r="Z966" s="96"/>
    </row>
    <row r="967" spans="1:26" ht="12.75" customHeight="1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  <c r="Y967" s="96"/>
      <c r="Z967" s="96"/>
    </row>
    <row r="968" spans="1:26" ht="12.75" customHeight="1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  <c r="Y968" s="96"/>
      <c r="Z968" s="96"/>
    </row>
    <row r="969" spans="1:26" ht="12.75" customHeight="1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  <c r="Y969" s="96"/>
      <c r="Z969" s="96"/>
    </row>
    <row r="970" spans="1:26" ht="12.75" customHeight="1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  <c r="Y970" s="96"/>
      <c r="Z970" s="96"/>
    </row>
    <row r="971" spans="1:26" ht="12.75" customHeight="1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  <c r="Y971" s="96"/>
      <c r="Z971" s="96"/>
    </row>
    <row r="972" spans="1:26" ht="12.75" customHeight="1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  <c r="Y972" s="96"/>
      <c r="Z972" s="96"/>
    </row>
    <row r="973" spans="1:26" ht="12.75" customHeight="1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  <c r="Y973" s="96"/>
      <c r="Z973" s="96"/>
    </row>
    <row r="974" spans="1:26" ht="12.75" customHeight="1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  <c r="Y974" s="96"/>
      <c r="Z974" s="96"/>
    </row>
    <row r="975" spans="1:26" ht="12.75" customHeight="1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  <c r="Y975" s="96"/>
      <c r="Z975" s="96"/>
    </row>
    <row r="976" spans="1:26" ht="12.75" customHeight="1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  <c r="Y976" s="96"/>
      <c r="Z976" s="96"/>
    </row>
    <row r="977" spans="1:26" ht="12.75" customHeight="1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  <c r="Y977" s="96"/>
      <c r="Z977" s="96"/>
    </row>
    <row r="978" spans="1:26" ht="12.75" customHeight="1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  <c r="Y978" s="96"/>
      <c r="Z978" s="96"/>
    </row>
    <row r="979" spans="1:26" ht="12.75" customHeight="1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  <c r="Y979" s="96"/>
      <c r="Z979" s="96"/>
    </row>
    <row r="980" spans="1:26" ht="12.75" customHeight="1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  <c r="Y980" s="96"/>
      <c r="Z980" s="96"/>
    </row>
    <row r="981" spans="1:26" ht="12.75" customHeight="1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  <c r="Y981" s="96"/>
      <c r="Z981" s="96"/>
    </row>
    <row r="982" spans="1:26" ht="12.75" customHeight="1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  <c r="Y982" s="96"/>
      <c r="Z982" s="96"/>
    </row>
    <row r="983" spans="1:26" ht="12.75" customHeight="1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  <c r="Y983" s="96"/>
      <c r="Z983" s="96"/>
    </row>
    <row r="984" spans="1:26" ht="12.75" customHeight="1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  <c r="Y984" s="96"/>
      <c r="Z984" s="96"/>
    </row>
    <row r="985" spans="1:26" ht="12.75" customHeight="1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  <c r="Y985" s="96"/>
      <c r="Z985" s="96"/>
    </row>
    <row r="986" spans="1:26" ht="12.75" customHeight="1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  <c r="Y986" s="96"/>
      <c r="Z986" s="96"/>
    </row>
    <row r="987" spans="1:26" ht="12.75" customHeight="1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  <c r="Y987" s="96"/>
      <c r="Z987" s="96"/>
    </row>
    <row r="988" spans="1:26" ht="12.75" customHeight="1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  <c r="Y988" s="96"/>
      <c r="Z988" s="96"/>
    </row>
    <row r="989" spans="1:26" ht="12.75" customHeight="1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  <c r="Y989" s="96"/>
      <c r="Z989" s="96"/>
    </row>
    <row r="990" spans="1:26" ht="12.75" customHeight="1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  <c r="Y990" s="96"/>
      <c r="Z990" s="96"/>
    </row>
    <row r="991" spans="1:26" ht="12.75" customHeight="1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  <c r="Y991" s="96"/>
      <c r="Z991" s="96"/>
    </row>
    <row r="992" spans="1:26" ht="12.75" customHeight="1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  <c r="Y992" s="96"/>
      <c r="Z992" s="96"/>
    </row>
    <row r="993" spans="1:26" ht="12.75" customHeight="1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  <c r="Y993" s="96"/>
      <c r="Z993" s="96"/>
    </row>
    <row r="994" spans="1:26" ht="12.75" customHeight="1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  <c r="Y994" s="96"/>
      <c r="Z994" s="96"/>
    </row>
    <row r="995" spans="1:26" ht="12.75" customHeight="1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  <c r="Y995" s="96"/>
      <c r="Z995" s="96"/>
    </row>
    <row r="996" spans="1:26" ht="12.75" customHeight="1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  <c r="Y996" s="96"/>
      <c r="Z996" s="96"/>
    </row>
    <row r="997" spans="1:26" ht="12.75" customHeight="1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  <c r="Y997" s="96"/>
      <c r="Z997" s="96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activeCell="F20" sqref="F20"/>
    </sheetView>
  </sheetViews>
  <sheetFormatPr defaultRowHeight="15"/>
  <cols>
    <col min="1" max="1" width="3" style="156" customWidth="1"/>
    <col min="2" max="2" width="12" style="156" customWidth="1"/>
    <col min="3" max="3" width="16" style="156" customWidth="1"/>
    <col min="4" max="6" width="13" style="156" customWidth="1"/>
    <col min="7" max="7" width="10" style="156" customWidth="1"/>
    <col min="8" max="8" width="3" style="156" customWidth="1"/>
    <col min="9" max="12" width="12" style="156" customWidth="1"/>
    <col min="13" max="14" width="3" style="156" customWidth="1"/>
  </cols>
  <sheetData>
    <row r="1" spans="1:12" ht="32.1" customHeight="1">
      <c r="A1" s="280" t="s">
        <v>373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</row>
    <row r="2" spans="1:12" ht="18" customHeight="1">
      <c r="A2" s="278" t="s">
        <v>374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</row>
    <row r="3" spans="1:12" ht="8.1" customHeight="1"/>
    <row r="4" spans="1:12" ht="15.95" customHeight="1">
      <c r="B4" s="271" t="s">
        <v>375</v>
      </c>
      <c r="C4" s="179"/>
      <c r="D4" s="271" t="s">
        <v>376</v>
      </c>
      <c r="E4" s="179"/>
      <c r="F4" s="271" t="s">
        <v>377</v>
      </c>
      <c r="G4" s="179"/>
      <c r="I4" s="271" t="s">
        <v>378</v>
      </c>
      <c r="J4" s="179"/>
      <c r="K4" s="271" t="s">
        <v>379</v>
      </c>
      <c r="L4" s="179"/>
    </row>
    <row r="5" spans="1:12" ht="21.95" customHeight="1">
      <c r="B5" s="281">
        <f>'2. 5기_예산목간'!D59</f>
        <v>43098091</v>
      </c>
      <c r="C5" s="276"/>
      <c r="D5" s="281">
        <f>SUM('3. 5기 수입지출장부'!E209:E227)</f>
        <v>9259660</v>
      </c>
      <c r="E5" s="276"/>
      <c r="F5" s="281">
        <f>LOOKUP(9.99E+307,Table_1[잔액])</f>
        <v>30924691</v>
      </c>
      <c r="G5" s="276"/>
      <c r="I5" s="275">
        <f>D5/B5</f>
        <v>0.21485081555004373</v>
      </c>
      <c r="J5" s="276"/>
      <c r="K5" s="272">
        <f>SUM(Table_1[지출])-D5</f>
        <v>2913740</v>
      </c>
      <c r="L5" s="273"/>
    </row>
    <row r="6" spans="1:12" ht="21.95" customHeight="1">
      <c r="B6" s="277"/>
      <c r="C6" s="277"/>
      <c r="D6" s="277"/>
      <c r="E6" s="277"/>
      <c r="F6" s="277"/>
      <c r="G6" s="277"/>
      <c r="I6" s="277"/>
      <c r="J6" s="277"/>
      <c r="K6" s="274"/>
      <c r="L6" s="274"/>
    </row>
    <row r="7" spans="1:12" ht="6" customHeight="1"/>
    <row r="8" spans="1:12" ht="9.9499999999999993" customHeight="1"/>
    <row r="9" spans="1:12" ht="19.5">
      <c r="A9" s="279" t="s">
        <v>380</v>
      </c>
      <c r="B9" s="179"/>
      <c r="C9" s="179"/>
      <c r="D9" s="179"/>
      <c r="E9" s="179"/>
      <c r="F9" s="179"/>
      <c r="G9" s="179"/>
    </row>
    <row r="10" spans="1:12" ht="21.95" customHeight="1">
      <c r="B10" s="157" t="s">
        <v>301</v>
      </c>
      <c r="C10" s="157" t="s">
        <v>381</v>
      </c>
      <c r="D10" s="157" t="s">
        <v>382</v>
      </c>
      <c r="E10" s="157" t="s">
        <v>280</v>
      </c>
      <c r="F10" s="157" t="s">
        <v>7</v>
      </c>
      <c r="G10" s="157" t="s">
        <v>383</v>
      </c>
    </row>
    <row r="11" spans="1:12" ht="20.100000000000001" customHeight="1">
      <c r="B11" s="158" t="s">
        <v>49</v>
      </c>
      <c r="C11" s="159" t="s">
        <v>49</v>
      </c>
      <c r="D11" s="160">
        <f>'3. 5기 수입지출장부'!D209</f>
        <v>3300000</v>
      </c>
      <c r="E11" s="161">
        <f>'3. 5기 수입지출장부'!E209</f>
        <v>1400000</v>
      </c>
      <c r="F11" s="162">
        <f>'3. 5기 수입지출장부'!F209</f>
        <v>1900000</v>
      </c>
      <c r="G11" s="163">
        <f t="shared" ref="G11:G29" si="0">IFERROR(E11/D11,0)</f>
        <v>0.42424242424242425</v>
      </c>
    </row>
    <row r="12" spans="1:12" ht="20.100000000000001" customHeight="1">
      <c r="B12" s="164" t="s">
        <v>265</v>
      </c>
      <c r="C12" s="165" t="s">
        <v>247</v>
      </c>
      <c r="D12" s="166">
        <f>'3. 5기 수입지출장부'!D210</f>
        <v>1927800</v>
      </c>
      <c r="E12" s="167">
        <f>'3. 5기 수입지출장부'!E210</f>
        <v>0</v>
      </c>
      <c r="F12" s="168">
        <f>'3. 5기 수입지출장부'!F210</f>
        <v>1927800</v>
      </c>
      <c r="G12" s="169">
        <f t="shared" si="0"/>
        <v>0</v>
      </c>
    </row>
    <row r="13" spans="1:12" ht="20.100000000000001" customHeight="1">
      <c r="B13" s="158" t="s">
        <v>265</v>
      </c>
      <c r="C13" s="159" t="s">
        <v>104</v>
      </c>
      <c r="D13" s="160">
        <f>'3. 5기 수입지출장부'!D211</f>
        <v>540000</v>
      </c>
      <c r="E13" s="161">
        <f>'3. 5기 수입지출장부'!E211</f>
        <v>166000</v>
      </c>
      <c r="F13" s="162">
        <f>'3. 5기 수입지출장부'!F211</f>
        <v>374000</v>
      </c>
      <c r="G13" s="163">
        <f t="shared" si="0"/>
        <v>0.30740740740740741</v>
      </c>
    </row>
    <row r="14" spans="1:12" ht="20.100000000000001" customHeight="1">
      <c r="B14" s="164" t="s">
        <v>265</v>
      </c>
      <c r="C14" s="165" t="s">
        <v>255</v>
      </c>
      <c r="D14" s="166">
        <f>'3. 5기 수입지출장부'!D212</f>
        <v>1000000</v>
      </c>
      <c r="E14" s="167">
        <f>'3. 5기 수입지출장부'!E212</f>
        <v>0</v>
      </c>
      <c r="F14" s="168">
        <f>'3. 5기 수입지출장부'!F212</f>
        <v>1000000</v>
      </c>
      <c r="G14" s="169">
        <f t="shared" si="0"/>
        <v>0</v>
      </c>
    </row>
    <row r="15" spans="1:12" ht="20.100000000000001" customHeight="1">
      <c r="B15" s="158" t="s">
        <v>265</v>
      </c>
      <c r="C15" s="159" t="s">
        <v>244</v>
      </c>
      <c r="D15" s="160">
        <f>'3. 5기 수입지출장부'!D213</f>
        <v>400000</v>
      </c>
      <c r="E15" s="161">
        <f>'3. 5기 수입지출장부'!E213</f>
        <v>376000</v>
      </c>
      <c r="F15" s="162">
        <f>'3. 5기 수입지출장부'!F213</f>
        <v>24000</v>
      </c>
      <c r="G15" s="163">
        <f t="shared" si="0"/>
        <v>0.94</v>
      </c>
    </row>
    <row r="16" spans="1:12" ht="20.100000000000001" customHeight="1">
      <c r="B16" s="164" t="s">
        <v>265</v>
      </c>
      <c r="C16" s="165" t="s">
        <v>223</v>
      </c>
      <c r="D16" s="166">
        <f>'3. 5기 수입지출장부'!D214</f>
        <v>200000</v>
      </c>
      <c r="E16" s="167">
        <f>'3. 5기 수입지출장부'!E214</f>
        <v>135000</v>
      </c>
      <c r="F16" s="168">
        <f>'3. 5기 수입지출장부'!F214</f>
        <v>65000</v>
      </c>
      <c r="G16" s="169">
        <f t="shared" si="0"/>
        <v>0.67500000000000004</v>
      </c>
    </row>
    <row r="17" spans="1:12" ht="20.100000000000001" customHeight="1">
      <c r="B17" s="158" t="s">
        <v>265</v>
      </c>
      <c r="C17" s="159" t="s">
        <v>243</v>
      </c>
      <c r="D17" s="160">
        <f>'3. 5기 수입지출장부'!D215</f>
        <v>200000</v>
      </c>
      <c r="E17" s="161">
        <f>'3. 5기 수입지출장부'!E215</f>
        <v>0</v>
      </c>
      <c r="F17" s="162">
        <f>'3. 5기 수입지출장부'!F215</f>
        <v>200000</v>
      </c>
      <c r="G17" s="163">
        <f t="shared" si="0"/>
        <v>0</v>
      </c>
    </row>
    <row r="18" spans="1:12" ht="20.100000000000001" customHeight="1">
      <c r="B18" s="164" t="s">
        <v>265</v>
      </c>
      <c r="C18" s="165" t="s">
        <v>220</v>
      </c>
      <c r="D18" s="166">
        <f>'3. 5기 수입지출장부'!D216</f>
        <v>200000</v>
      </c>
      <c r="E18" s="167">
        <f>'3. 5기 수입지출장부'!E216</f>
        <v>135000</v>
      </c>
      <c r="F18" s="168">
        <f>'3. 5기 수입지출장부'!F216</f>
        <v>65000</v>
      </c>
      <c r="G18" s="169">
        <f t="shared" si="0"/>
        <v>0.67500000000000004</v>
      </c>
    </row>
    <row r="19" spans="1:12" ht="20.100000000000001" customHeight="1">
      <c r="B19" s="158" t="s">
        <v>265</v>
      </c>
      <c r="C19" s="159" t="s">
        <v>257</v>
      </c>
      <c r="D19" s="160">
        <f>'3. 5기 수입지출장부'!D217</f>
        <v>0</v>
      </c>
      <c r="E19" s="161">
        <f>'3. 5기 수입지출장부'!E217</f>
        <v>0</v>
      </c>
      <c r="F19" s="162">
        <f>'3. 5기 수입지출장부'!F217</f>
        <v>0</v>
      </c>
      <c r="G19" s="163">
        <f t="shared" si="0"/>
        <v>0</v>
      </c>
    </row>
    <row r="20" spans="1:12" ht="20.100000000000001" customHeight="1">
      <c r="B20" s="164" t="s">
        <v>269</v>
      </c>
      <c r="C20" s="165" t="s">
        <v>59</v>
      </c>
      <c r="D20" s="166">
        <f>'3. 5기 수입지출장부'!D218</f>
        <v>3600000</v>
      </c>
      <c r="E20" s="167">
        <f>'3. 5기 수입지출장부'!E218</f>
        <v>3585660</v>
      </c>
      <c r="F20" s="168">
        <f>'3. 5기 수입지출장부'!F218</f>
        <v>14340</v>
      </c>
      <c r="G20" s="169">
        <f t="shared" si="0"/>
        <v>0.99601666666666666</v>
      </c>
    </row>
    <row r="21" spans="1:12" ht="20.100000000000001" customHeight="1">
      <c r="B21" s="158" t="s">
        <v>269</v>
      </c>
      <c r="C21" s="159" t="s">
        <v>56</v>
      </c>
      <c r="D21" s="160">
        <f>'3. 5기 수입지출장부'!D219</f>
        <v>8000000</v>
      </c>
      <c r="E21" s="161">
        <f>'3. 5기 수입지출장부'!E219</f>
        <v>3462000</v>
      </c>
      <c r="F21" s="162">
        <f>'3. 5기 수입지출장부'!F219</f>
        <v>4538000</v>
      </c>
      <c r="G21" s="163">
        <f t="shared" si="0"/>
        <v>0.43275000000000002</v>
      </c>
    </row>
    <row r="22" spans="1:12" ht="20.100000000000001" customHeight="1">
      <c r="B22" s="164" t="s">
        <v>269</v>
      </c>
      <c r="C22" s="165" t="s">
        <v>259</v>
      </c>
      <c r="D22" s="166">
        <f>'3. 5기 수입지출장부'!D220</f>
        <v>300000</v>
      </c>
      <c r="E22" s="167">
        <f>'3. 5기 수입지출장부'!E220</f>
        <v>0</v>
      </c>
      <c r="F22" s="168">
        <f>'3. 5기 수입지출장부'!F220</f>
        <v>300000</v>
      </c>
      <c r="G22" s="169">
        <f t="shared" si="0"/>
        <v>0</v>
      </c>
    </row>
    <row r="23" spans="1:12" ht="20.100000000000001" customHeight="1">
      <c r="B23" s="158" t="s">
        <v>269</v>
      </c>
      <c r="C23" s="159" t="s">
        <v>261</v>
      </c>
      <c r="D23" s="160">
        <f>'3. 5기 수입지출장부'!D221</f>
        <v>4000000</v>
      </c>
      <c r="E23" s="161">
        <f>'3. 5기 수입지출장부'!E221</f>
        <v>0</v>
      </c>
      <c r="F23" s="162">
        <f>'3. 5기 수입지출장부'!F221</f>
        <v>4000000</v>
      </c>
      <c r="G23" s="163">
        <f t="shared" si="0"/>
        <v>0</v>
      </c>
    </row>
    <row r="24" spans="1:12" ht="20.100000000000001" customHeight="1">
      <c r="B24" s="164" t="s">
        <v>269</v>
      </c>
      <c r="C24" s="165" t="s">
        <v>253</v>
      </c>
      <c r="D24" s="166">
        <f>'3. 5기 수입지출장부'!D222</f>
        <v>2300000</v>
      </c>
      <c r="E24" s="167">
        <f>'3. 5기 수입지출장부'!E222</f>
        <v>0</v>
      </c>
      <c r="F24" s="168">
        <f>'3. 5기 수입지출장부'!F222</f>
        <v>2300000</v>
      </c>
      <c r="G24" s="169">
        <f t="shared" si="0"/>
        <v>0</v>
      </c>
    </row>
    <row r="25" spans="1:12" ht="20.100000000000001" customHeight="1">
      <c r="B25" s="158" t="s">
        <v>269</v>
      </c>
      <c r="C25" s="159" t="s">
        <v>256</v>
      </c>
      <c r="D25" s="160">
        <f>'3. 5기 수입지출장부'!D223</f>
        <v>0</v>
      </c>
      <c r="E25" s="161">
        <f>'3. 5기 수입지출장부'!E223</f>
        <v>0</v>
      </c>
      <c r="F25" s="162">
        <f>'3. 5기 수입지출장부'!F223</f>
        <v>0</v>
      </c>
      <c r="G25" s="163">
        <f t="shared" si="0"/>
        <v>0</v>
      </c>
    </row>
    <row r="26" spans="1:12" ht="20.100000000000001" customHeight="1">
      <c r="B26" s="164" t="s">
        <v>269</v>
      </c>
      <c r="C26" s="165" t="s">
        <v>249</v>
      </c>
      <c r="D26" s="166">
        <f>'3. 5기 수입지출장부'!D224</f>
        <v>600000</v>
      </c>
      <c r="E26" s="167">
        <f>'3. 5기 수입지출장부'!E224</f>
        <v>0</v>
      </c>
      <c r="F26" s="168">
        <f>'3. 5기 수입지출장부'!F224</f>
        <v>600000</v>
      </c>
      <c r="G26" s="169">
        <f t="shared" si="0"/>
        <v>0</v>
      </c>
    </row>
    <row r="27" spans="1:12" ht="20.100000000000001" customHeight="1">
      <c r="B27" s="158" t="s">
        <v>269</v>
      </c>
      <c r="C27" s="159" t="s">
        <v>248</v>
      </c>
      <c r="D27" s="160">
        <f>'3. 5기 수입지출장부'!D225</f>
        <v>300000</v>
      </c>
      <c r="E27" s="161">
        <f>'3. 5기 수입지출장부'!E225</f>
        <v>0</v>
      </c>
      <c r="F27" s="162">
        <f>'3. 5기 수입지출장부'!F225</f>
        <v>300000</v>
      </c>
      <c r="G27" s="163">
        <f t="shared" si="0"/>
        <v>0</v>
      </c>
    </row>
    <row r="28" spans="1:12" ht="20.100000000000001" customHeight="1">
      <c r="B28" s="164" t="s">
        <v>269</v>
      </c>
      <c r="C28" s="165" t="s">
        <v>252</v>
      </c>
      <c r="D28" s="166">
        <f>'3. 5기 수입지출장부'!D226</f>
        <v>500000</v>
      </c>
      <c r="E28" s="167">
        <f>'3. 5기 수입지출장부'!E226</f>
        <v>0</v>
      </c>
      <c r="F28" s="168">
        <f>'3. 5기 수입지출장부'!F226</f>
        <v>500000</v>
      </c>
      <c r="G28" s="169">
        <f t="shared" si="0"/>
        <v>0</v>
      </c>
    </row>
    <row r="29" spans="1:12" ht="20.100000000000001" customHeight="1">
      <c r="B29" s="158" t="s">
        <v>269</v>
      </c>
      <c r="C29" s="159" t="s">
        <v>242</v>
      </c>
      <c r="D29" s="160">
        <f>'3. 5기 수입지출장부'!D227</f>
        <v>400000</v>
      </c>
      <c r="E29" s="161">
        <f>'3. 5기 수입지출장부'!E227</f>
        <v>0</v>
      </c>
      <c r="F29" s="162">
        <f>'3. 5기 수입지출장부'!F227</f>
        <v>400000</v>
      </c>
      <c r="G29" s="163">
        <f t="shared" si="0"/>
        <v>0</v>
      </c>
    </row>
    <row r="31" spans="1:12">
      <c r="A31" s="270" t="s">
        <v>384</v>
      </c>
      <c r="B31" s="179"/>
      <c r="C31" s="179"/>
      <c r="D31" s="179"/>
      <c r="E31" s="179"/>
      <c r="F31" s="179"/>
      <c r="G31" s="179"/>
      <c r="H31" s="179"/>
      <c r="I31" s="179"/>
      <c r="J31" s="179"/>
      <c r="K31" s="179"/>
      <c r="L31" s="179"/>
    </row>
  </sheetData>
  <mergeCells count="14">
    <mergeCell ref="A2:L2"/>
    <mergeCell ref="I4:J4"/>
    <mergeCell ref="A9:G9"/>
    <mergeCell ref="A1:L1"/>
    <mergeCell ref="B5:C6"/>
    <mergeCell ref="F5:G6"/>
    <mergeCell ref="D5:E6"/>
    <mergeCell ref="A31:L31"/>
    <mergeCell ref="D4:E4"/>
    <mergeCell ref="K5:L6"/>
    <mergeCell ref="I5:J6"/>
    <mergeCell ref="K4:L4"/>
    <mergeCell ref="B4:C4"/>
    <mergeCell ref="F4:G4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2026-10-26T09:26:45Z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