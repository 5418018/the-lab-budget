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362041C6-ABDD-4C06-9E13-959974930E4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수입지출장부'!$F$182:$F$185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5" i="3" l="1"/>
  <c r="G174" i="3"/>
  <c r="G164" i="3"/>
  <c r="G165" i="3" s="1"/>
  <c r="G166" i="3" s="1"/>
  <c r="G167" i="3" s="1"/>
  <c r="G168" i="3" s="1"/>
  <c r="G169" i="3" s="1"/>
  <c r="G170" i="3" s="1"/>
  <c r="G171" i="3" s="1"/>
  <c r="G172" i="3" s="1"/>
  <c r="G173" i="3" s="1"/>
  <c r="F14" i="4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4" i="3"/>
  <c r="D214" i="3"/>
  <c r="E213" i="3"/>
  <c r="E212" i="3"/>
  <c r="E211" i="3"/>
  <c r="E210" i="3"/>
  <c r="E209" i="3"/>
  <c r="D209" i="3"/>
  <c r="E208" i="3"/>
  <c r="D208" i="3"/>
  <c r="E207" i="3"/>
  <c r="E206" i="3"/>
  <c r="E205" i="3"/>
  <c r="D205" i="3"/>
  <c r="E204" i="3"/>
  <c r="E203" i="3"/>
  <c r="E202" i="3"/>
  <c r="E201" i="3"/>
  <c r="D201" i="3"/>
  <c r="E200" i="3"/>
  <c r="D200" i="3"/>
  <c r="E199" i="3"/>
  <c r="E198" i="3"/>
  <c r="D198" i="3"/>
  <c r="E197" i="3"/>
  <c r="D197" i="3"/>
  <c r="E196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Y7" i="1" l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4" i="3"/>
  <c r="F29" i="5" s="1"/>
  <c r="D29" i="5"/>
  <c r="E28" i="5"/>
  <c r="G28" i="5" s="1"/>
  <c r="Q39" i="1"/>
  <c r="F213" i="3"/>
  <c r="F28" i="5" s="1"/>
  <c r="Q37" i="1"/>
  <c r="S36" i="1" s="1"/>
  <c r="F212" i="3"/>
  <c r="F27" i="5" s="1"/>
  <c r="E27" i="5"/>
  <c r="G27" i="5" s="1"/>
  <c r="Q35" i="1"/>
  <c r="S34" i="1" s="1"/>
  <c r="F211" i="3"/>
  <c r="F26" i="5" s="1"/>
  <c r="E26" i="5"/>
  <c r="G26" i="5" s="1"/>
  <c r="F210" i="3"/>
  <c r="F25" i="5" s="1"/>
  <c r="E25" i="5"/>
  <c r="G25" i="5" s="1"/>
  <c r="Q33" i="1"/>
  <c r="Q31" i="1"/>
  <c r="S30" i="1" s="1"/>
  <c r="E24" i="5"/>
  <c r="F209" i="3"/>
  <c r="F24" i="5" s="1"/>
  <c r="D24" i="5"/>
  <c r="Q29" i="1"/>
  <c r="S28" i="1" s="1"/>
  <c r="E23" i="5"/>
  <c r="F208" i="3"/>
  <c r="F23" i="5" s="1"/>
  <c r="D23" i="5"/>
  <c r="E22" i="5"/>
  <c r="G22" i="5" s="1"/>
  <c r="F207" i="3"/>
  <c r="F22" i="5" s="1"/>
  <c r="Q27" i="1"/>
  <c r="S26" i="1" s="1"/>
  <c r="Q25" i="1"/>
  <c r="S24" i="1" s="1"/>
  <c r="F206" i="3"/>
  <c r="F21" i="5" s="1"/>
  <c r="E21" i="5"/>
  <c r="G21" i="5" s="1"/>
  <c r="E20" i="5"/>
  <c r="Q23" i="1"/>
  <c r="F205" i="3"/>
  <c r="F20" i="5" s="1"/>
  <c r="D20" i="5"/>
  <c r="F204" i="3"/>
  <c r="F19" i="5" s="1"/>
  <c r="E19" i="5"/>
  <c r="G19" i="5" s="1"/>
  <c r="F203" i="3"/>
  <c r="F18" i="5" s="1"/>
  <c r="Q21" i="1"/>
  <c r="S20" i="1" s="1"/>
  <c r="E18" i="5"/>
  <c r="G18" i="5" s="1"/>
  <c r="Q19" i="1"/>
  <c r="S18" i="1" s="1"/>
  <c r="F202" i="3"/>
  <c r="F17" i="5" s="1"/>
  <c r="E17" i="5"/>
  <c r="G17" i="5" s="1"/>
  <c r="E16" i="5"/>
  <c r="Q17" i="1"/>
  <c r="S16" i="1" s="1"/>
  <c r="D16" i="5"/>
  <c r="F201" i="3"/>
  <c r="F16" i="5" s="1"/>
  <c r="Q15" i="1"/>
  <c r="S14" i="1" s="1"/>
  <c r="E15" i="5"/>
  <c r="D15" i="5"/>
  <c r="F200" i="3"/>
  <c r="F15" i="5" s="1"/>
  <c r="F199" i="3"/>
  <c r="F14" i="5" s="1"/>
  <c r="E14" i="5"/>
  <c r="G14" i="5" s="1"/>
  <c r="Q13" i="1"/>
  <c r="S12" i="1" s="1"/>
  <c r="E13" i="5"/>
  <c r="Q11" i="1"/>
  <c r="S10" i="1" s="1"/>
  <c r="D13" i="5"/>
  <c r="F198" i="3"/>
  <c r="F13" i="5" s="1"/>
  <c r="Q9" i="1"/>
  <c r="E12" i="5"/>
  <c r="D12" i="5"/>
  <c r="F197" i="3"/>
  <c r="F12" i="5" s="1"/>
  <c r="E11" i="5"/>
  <c r="G11" i="5" s="1"/>
  <c r="Q7" i="1"/>
  <c r="F196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<sst xmlns="http://schemas.openxmlformats.org/spreadsheetml/2006/main" count="1392" uniqueCount="423">
  <si>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</si>
  <si>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</si>
  <si>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</si>
  <si>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</si>
  <si>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</si>
  <si>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</si>
  <si>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</si>
  <si>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</si>
  <si>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</si>
  <si>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</si>
  <si>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</si>
  <si>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</si>
  <si>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</si>
  <si>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</si>
  <si>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</si>
  <si>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</si>
  <si>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</si>
  <si>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</si>
  <si>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</si>
  <si>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</si>
  <si>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</si>
  <si>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</si>
  <si>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</si>
  <si>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</si>
  <si>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</si>
  <si>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</si>
  <si>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</si>
  <si>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</si>
  <si>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</si>
  <si>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</si>
  <si>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</si>
  <si>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</si>
  <si>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</si>
  <si>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</si>
  <si>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</si>
  <si>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</si>
  <si>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</si>
  <si>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</si>
  <si>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</si>
  <si>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</si>
  <si>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</si>
  <si>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</si>
  <si>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</si>
  <si>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</si>
  <si>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</si>
  <si>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</si>
  <si>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</si>
  <si>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</si>
  <si>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</si>
  <si>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</si>
  <si>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</si>
  <si>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</si>
  <si>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</si>
  <si>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</si>
  <si>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</si>
  <si>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</si>
  <si>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</si>
  <si>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</si>
  <si>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</si>
  <si>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</si>
  <si>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</si>
  <si>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</si>
  <si>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</si>
  <si>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</si>
  <si>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</si>
  <si>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</si>
  <si>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</si>
  <si>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</si>
  <si>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</si>
  <si>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</si>
  <si>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</si>
  <si>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</si>
  <si>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</si>
  <si>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</si>
  <si>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</si>
  <si>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</si>
  <si>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</si>
  <si>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</si>
  <si>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</si>
  <si>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</si>
  <si>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</si>
  <si>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</si>
  <si>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</si>
  <si>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</si>
  <si>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</si>
  <si>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</si>
  <si>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</si>
  <si>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</si>
  <si>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</si>
  <si>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</si>
  <si>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</si>
  <si>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</si>
  <si>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</si>
  <si>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</si>
  <si>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</si>
  <si>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</si>
  <si>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</si>
  <si>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</si>
  <si>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</si>
  <si>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</si>
  <si>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</si>
  <si>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</si>
  <si>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</si>
  <si>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</si>
  <si>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</si>
  <si>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</si>
  <si>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</si>
  <si>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</si>
  <si>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</si>
  <si>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</si>
  <si>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</si>
  <si>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</si>
  <si>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</si>
  <si>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</si>
  <si>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</si>
  <si>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</si>
  <si>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</si>
  <si>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</si>
  <si>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</si>
  <si>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</si>
  <si>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</si>
  <si>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</si>
  <si>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</si>
  <si>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</si>
  <si>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</si>
  <si>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</si>
  <si>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</si>
  <si>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</si>
  <si>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</si>
  <si>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</si>
  <si>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</si>
  <si>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</si>
  <si>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</si>
  <si>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</si>
  <si>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</si>
  <si>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</si>
  <si>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</si>
  <si>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</si>
  <si>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</si>
  <si>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</si>
  <si>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</si>
  <si>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</si>
  <si>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</si>
  <si>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</si>
  <si>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</si>
  <si>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</si>
  <si>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</si>
  <si>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</si>
  <si>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</si>
  <si>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</si>
  <si>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</si>
  <si>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</si>
  <si>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</si>
  <si>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</si>
  <si>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</si>
  <si>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</si>
  <si>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</si>
  <si>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</si>
  <si>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</si>
  <si>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</si>
  <si>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</si>
  <si>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</si>
  <si>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</si>
  <si>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</si>
  <si>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</si>
  <si>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</si>
  <si>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</si>
  <si>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</si>
  <si>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</si>
  <si>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</si>
  <si>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</si>
  <si>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</si>
  <si>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</si>
  <si>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</si>
  <si>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</si>
  <si>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</si>
  <si>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</si>
  <si>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</si>
  <si>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</si>
  <si>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</si>
  <si>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</si>
  <si>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</si>
  <si>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</si>
  <si>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</si>
  <si>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</si>
  <si>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</si>
  <si>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</si>
  <si>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</si>
  <si>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</si>
  <si>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</si>
  <si>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</si>
  <si>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</si>
  <si>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</si>
  <si>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</si>
  <si>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</si>
  <si>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</si>
  <si>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</si>
  <si>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</si>
  <si>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</si>
  <si>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</si>
  <si>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</si>
  <si>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</si>
  <si>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</si>
  <si>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</si>
  <si>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</si>
  <si>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</si>
  <si>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</si>
  <si>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</si>
  <si>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</si>
  <si>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</si>
  <si>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</si>
  <si>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</si>
  <si>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</si>
  <si>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</si>
  <si>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</si>
  <si>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</si>
  <si>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</si>
  <si>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</si>
  <si>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</si>
  <si>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</si>
  <si>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</si>
  <si>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</si>
  <si>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</si>
  <si>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</si>
  <si>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</si>
  <si>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</si>
  <si>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</si>
  <si>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</si>
  <si>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</si>
  <si>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</si>
  <si>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</si>
  <si>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</si>
  <si>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</si>
  <si>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</si>
  <si>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</si>
  <si>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</si>
  <si>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</si>
  <si>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</si>
  <si>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</si>
  <si>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</si>
  <si>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</si>
  <si>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</si>
  <si>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</si>
  <si>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</si>
  <si>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</si>
  <si>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</si>
  <si>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</si>
  <si>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</si>
  <si>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</si>
  <si>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</si>
  <si>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</si>
  <si>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</si>
  <si>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</si>
  <si>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</si>
  <si>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</si>
  <si>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</si>
  <si>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</si>
  <si>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</si>
  <si>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</si>
  <si>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</si>
  <si>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</si>
  <si>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</si>
  <si>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</si>
  <si>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</si>
  <si>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</si>
  <si>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</si>
  <si>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</si>
  <si>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</si>
  <si>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</si>
  <si>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</si>
  <si>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</si>
  <si>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</si>
  <si>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</si>
  <si>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</si>
  <si>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</si>
  <si>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</si>
  <si>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</si>
  <si>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</si>
  <si>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</si>
  <si>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</si>
  <si>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</si>
  <si>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</si>
  <si>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</si>
  <si>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</si>
  <si>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</si>
  <si>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</si>
  <si>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</si>
  <si>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</si>
  <si>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</si>
  <si>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</si>
  <si>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</si>
  <si>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</si>
  <si>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</si>
  <si>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</si>
  <si>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</si>
  <si>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</si>
  <si>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</si>
  <si>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</si>
  <si>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</si>
  <si>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</si>
  <si>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</si>
  <si>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</si>
  <si>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</si>
  <si>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</si>
  <si>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</si>
  <si>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</si>
  <si>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</si>
  <si>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</si>
  <si>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</si>
  <si>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</si>
  <si>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</si>
  <si>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</si>
  <si>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</si>
  <si>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</si>
  <si>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</si>
  <si>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</si>
  <si>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</si>
  <si>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</si>
  <si>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</si>
  <si>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</si>
  <si>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</si>
  <si>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</si>
  <si>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</si>
  <si>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</si>
  <si>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</si>
  <si>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</si>
  <si>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</si>
  <si>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</si>
  <si>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</si>
  <si>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</si>
  <si>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</si>
  <si>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</si>
  <si>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</si>
  <si>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</si>
  <si>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</si>
  <si>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</si>
  <si>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</si>
  <si>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</si>
  <si>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</si>
  <si>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</si>
  <si>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</si>
  <si>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</si>
  <si>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</si>
  <si>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</si>
  <si>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</si>
  <si>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</si>
  <si>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</si>
  <si>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</si>
  <si>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</si>
  <si>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</si>
  <si>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</si>
  <si>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</si>
  <si>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</si>
  <si>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</si>
  <si>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</si>
  <si>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</si>
  <si>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</si>
  <si>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</si>
  <si>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</si>
  <si>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</si>
  <si>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</si>
  <si>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</si>
  <si>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</si>
  <si>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</si>
  <si>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</si>
  <si>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</si>
  <si>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</si>
  <si>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</si>
  <si>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</si>
  <si>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</si>
  <si>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</si>
  <si>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</si>
  <si>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</si>
  <si>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</si>
  <si>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</si>
  <si>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</si>
  <si>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</si>
  <si>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</si>
  <si>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</si>
  <si>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</si>
  <si>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</si>
  <si>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</si>
  <si>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</si>
  <si>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</si>
  <si>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</si>
  <si>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</si>
  <si>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</si>
  <si>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</si>
  <si>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</si>
  <si>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</si>
  <si>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</si>
  <si>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</si>
  <si>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</si>
  <si>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</si>
  <si>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</si>
  <si>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</si>
  <si>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</si>
  <si>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</si>
  <si>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</si>
  <si>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</si>
  <si>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</si>
  <si>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</si>
  <si>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</si>
  <si>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</si>
  <si>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</si>
  <si>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</si>
  <si>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</si>
  <si>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</si>
  <si>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</si>
  <si>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</si>
  <si>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</si>
  <si>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</si>
  <si>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</si>
  <si>
    <t>조직원 티타임 (김성복 외 6명)</t>
    <phoneticPr fontId="33" type="noConversion"/>
  </si>
  <si>
    <t>조직사업 (김성복 외 8명)</t>
    <phoneticPr fontId="33" type="noConversion"/>
  </si>
  <si>
    <t>조직사업 (박보규 외 6명)</t>
    <phoneticPr fontId="33" type="noConversion"/>
  </si>
  <si>
    <t>박태순 빙부상 (조의금)</t>
    <phoneticPr fontId="33" type="noConversion"/>
  </si>
  <si>
    <t>박태순 빙부상 (조화)</t>
    <phoneticPr fontId="33" type="noConversion"/>
  </si>
  <si>
    <t>박태순</t>
    <phoneticPr fontId="33" type="noConversion"/>
  </si>
  <si>
    <t>조직원 티타임 (김성복 외 4명)</t>
    <phoneticPr fontId="33" type="noConversion"/>
  </si>
  <si>
    <t>조직원 티타임 (홍성민 외1명)</t>
    <phoneticPr fontId="33" type="noConversion"/>
  </si>
  <si>
    <t>조직원 티타임 (홍성민 외15명)</t>
    <phoneticPr fontId="33" type="noConversion"/>
  </si>
  <si>
    <t>조직사업 (김성복 외 3명)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</si>
</sst>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5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7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10" fontId="5" fillId="0" borderId="48" xfId="0" applyNumberFormat="1" applyFont="1" applyAlignment="1">
      <alignment horizontal="center" vertical="center" wrapText="1"/>
    </xf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29" xfId="0" applyNumberFormat="1" applyFont="1" applyBorder="1" applyAlignment="1">
      <alignment horizontal="center" vertical="center"/>
    </xf>
    <xf numFmtId="0" fontId="0" fillId="0" borderId="29" xfId="0" applyBorder="1"/>
    <xf numFmtId="0" fontId="8" fillId="0" borderId="48" xfId="0" applyFont="1" applyAlignment="1">
      <alignment horizontal="center" vertical="center" wrapText="1"/>
    </xf>
    <xf numFmtId="0" fontId="5" fillId="0" borderId="48" xfId="0" applyFont="1" applyAlignment="1">
      <alignment horizontal="center" vertical="center" wrapText="1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49" fontId="1" fillId="0" borderId="64" xfId="0" applyNumberFormat="1" applyFont="1" applyBorder="1" applyAlignment="1">
      <alignment horizontal="center" vertical="center"/>
    </xf>
    <xf numFmtId="0" fontId="0" fillId="0" borderId="20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2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0" fontId="1" fillId="0" borderId="16" xfId="0" applyFont="1" applyBorder="1" applyAlignment="1">
      <alignment horizontal="center" vertical="center"/>
    </xf>
    <xf numFmtId="0" fontId="0" fillId="0" borderId="16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0" fontId="1" fillId="0" borderId="57" xfId="0" applyFont="1" applyBorder="1" applyAlignment="1">
      <alignment horizontal="center" vertical="center"/>
    </xf>
    <xf numFmtId="49" fontId="1" fillId="0" borderId="59" xfId="0" applyNumberFormat="1" applyFont="1" applyBorder="1" applyAlignment="1">
      <alignment horizontal="center" vertical="center"/>
    </xf>
    <xf numFmtId="3" fontId="3" fillId="0" borderId="60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49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10" fontId="1" fillId="0" borderId="64" xfId="0" applyNumberFormat="1" applyFont="1" applyBorder="1" applyAlignment="1">
      <alignment horizontal="center" vertical="center"/>
    </xf>
    <xf numFmtId="10" fontId="1" fillId="0" borderId="63" xfId="0" applyNumberFormat="1" applyFont="1" applyBorder="1" applyAlignment="1">
      <alignment horizontal="center" vertical="center"/>
    </xf>
    <xf numFmtId="3" fontId="3" fillId="0" borderId="61" xfId="0" applyNumberFormat="1" applyFont="1" applyBorder="1" applyAlignment="1">
      <alignment horizontal="center"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49" fontId="1" fillId="0" borderId="70" xfId="0" applyNumberFormat="1" applyFont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0" fillId="0" borderId="42" xfId="0" applyBorder="1"/>
    <xf numFmtId="0" fontId="16" fillId="2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9" fillId="6" borderId="15" xfId="0" applyFont="1" applyFill="1" applyBorder="1" applyAlignment="1">
      <alignment horizontal="center" vertical="center"/>
    </xf>
    <xf numFmtId="0" fontId="0" fillId="0" borderId="49" xfId="0" applyBorder="1"/>
    <xf numFmtId="0" fontId="19" fillId="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178" fontId="15" fillId="0" borderId="15" xfId="0" applyNumberFormat="1" applyFont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179" fontId="12" fillId="0" borderId="48" xfId="0" applyNumberFormat="1" applyFont="1" applyAlignment="1">
      <alignment horizontal="center" vertical="center"/>
    </xf>
    <xf numFmtId="0" fontId="12" fillId="9" borderId="48" xfId="0" applyFont="1" applyFill="1" applyAlignment="1">
      <alignment horizontal="center" vertical="center" wrapText="1"/>
    </xf>
    <xf numFmtId="0" fontId="26" fillId="10" borderId="41" xfId="0" applyFont="1" applyFill="1" applyBorder="1" applyAlignment="1">
      <alignment horizontal="center" vertical="center"/>
    </xf>
    <xf numFmtId="0" fontId="39" fillId="0" borderId="0" xfId="0" applyFont="1" applyBorder="1"/>
    <xf numFmtId="0" fontId="37" fillId="0" borderId="0" xfId="0" applyFont="1" applyBorder="1" applyAlignment="1">
      <alignment horizontal="left" vertical="center"/>
    </xf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6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9">
  <autoFilter ref="A4:N179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81:A193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81:B184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81:C183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81:D183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81:E185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81:F184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81:G188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81:H184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7" customWidth="1"/>
    <col min="2" max="2" width="3.28515625" style="157" customWidth="1"/>
    <col min="3" max="3" width="12.28515625" style="157" customWidth="1"/>
    <col min="4" max="4" width="6.28515625" style="157" customWidth="1"/>
    <col min="5" max="7" width="4" style="157" customWidth="1"/>
    <col min="8" max="16" width="3.5703125" style="157" customWidth="1"/>
    <col min="17" max="17" width="8.42578125" style="157" customWidth="1"/>
    <col min="18" max="18" width="1.85546875" style="157" customWidth="1"/>
    <col min="19" max="19" width="8.85546875" style="157" customWidth="1"/>
    <col min="20" max="20" width="13.7109375" style="157" customWidth="1"/>
    <col min="21" max="23" width="3.7109375" style="157" customWidth="1"/>
    <col min="24" max="28" width="13.28515625" style="157" customWidth="1"/>
    <col min="29" max="29" width="15.85546875" style="157" customWidth="1"/>
    <col min="30" max="39" width="4.28515625" style="157" customWidth="1"/>
    <col min="40" max="40" width="8.7109375" style="157" customWidth="1"/>
    <col min="41" max="41" width="13.85546875" style="157" customWidth="1"/>
    <col min="42" max="42" width="4.28515625" style="157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22" t="s">
        <v>276</v>
      </c>
      <c r="C4" s="212" t="s">
        <v>277</v>
      </c>
      <c r="D4" s="212"/>
      <c r="E4" s="241" t="s">
        <v>278</v>
      </c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3"/>
      <c r="Q4" s="244" t="s">
        <v>279</v>
      </c>
      <c r="R4" s="245"/>
      <c r="S4" s="181" t="s">
        <v>280</v>
      </c>
      <c r="T4" s="201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23"/>
      <c r="C5" s="213"/>
      <c r="D5" s="213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246"/>
      <c r="R5" s="247"/>
      <c r="S5" s="182"/>
      <c r="T5" s="20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204">
        <v>1</v>
      </c>
      <c r="C6" s="233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51">
        <f>'2. 5기_예산목간'!D24</f>
        <v>3300000</v>
      </c>
      <c r="R6" s="252"/>
      <c r="S6" s="250">
        <f>Q7/Q6</f>
        <v>0.36363636363636365</v>
      </c>
      <c r="T6" s="253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205"/>
      <c r="C7" s="209"/>
      <c r="D7" s="9" t="s">
        <v>280</v>
      </c>
      <c r="E7" s="9" t="str">
        <f>IF(COUNTIFS('3. 5기 수입지출장부'!$C$5:$C$2007,$C6,'3. 5기 수입지출장부'!$A$5:$A$2007,"&gt;="&amp;DATE(2026,E$5,1),'3. 5기 수입지출장부'!$A$5:$A$2007,"&lt;"&amp;DATE(2026,E$5+1,1),'3. 5기 수입지출장부'!$E$5:$E$2007,"&gt;0")&gt;0,"■","")</f>
        <v/>
      </c>
      <c r="F7" s="9" t="str">
        <f>IF(COUNTIFS('3. 5기 수입지출장부'!$C$5:$C$2007,$C6,'3. 5기 수입지출장부'!$A$5:$A$2007,"&gt;="&amp;DATE(2026,F$5,1),'3. 5기 수입지출장부'!$A$5:$A$2007,"&lt;"&amp;DATE(2026,F$5+1,1),'3. 5기 수입지출장부'!$E$5:$E$2007,"&gt;0")&gt;0,"■","")</f>
        <v/>
      </c>
      <c r="G7" s="9" t="str">
        <f>IF(COUNTIFS('3. 5기 수입지출장부'!$C$5:$C$2007,$C6,'3. 5기 수입지출장부'!$A$5:$A$2007,"&gt;="&amp;DATE(2026,G$5,1),'3. 5기 수입지출장부'!$A$5:$A$2007,"&lt;"&amp;DATE(2026,G$5+1,1),'3. 5기 수입지출장부'!$E$5:$E$2007,"&gt;0")&gt;0,"■","")</f>
        <v>■</v>
      </c>
      <c r="H7" s="9" t="str">
        <f>IF(COUNTIFS('3. 5기 수입지출장부'!$C$5:$C$2007,$C6,'3. 5기 수입지출장부'!$A$5:$A$2007,"&gt;="&amp;DATE(2026,H$5,1),'3. 5기 수입지출장부'!$A$5:$A$2007,"&lt;"&amp;DATE(2026,H$5+1,1),'3. 5기 수입지출장부'!$E$5:$E$2007,"&gt;0")&gt;0,"■","")</f>
        <v/>
      </c>
      <c r="I7" s="9" t="str">
        <f>IF(COUNTIFS('3. 5기 수입지출장부'!$C$5:$C$2007,$C6,'3. 5기 수입지출장부'!$A$5:$A$2007,"&gt;="&amp;DATE(2026,I$5,1),'3. 5기 수입지출장부'!$A$5:$A$2007,"&lt;"&amp;DATE(2026,I$5+1,1),'3. 5기 수입지출장부'!$E$5:$E$2007,"&gt;0")&gt;0,"■","")</f>
        <v/>
      </c>
      <c r="J7" s="9" t="str">
        <f>IF(COUNTIFS('3. 5기 수입지출장부'!$C$5:$C$2007,$C6,'3. 5기 수입지출장부'!$A$5:$A$2007,"&gt;="&amp;DATE(2026,J$5,1),'3. 5기 수입지출장부'!$A$5:$A$2007,"&lt;"&amp;DATE(2026,J$5+1,1),'3. 5기 수입지출장부'!$E$5:$E$2007,"&gt;0")&gt;0,"■","")</f>
        <v>■</v>
      </c>
      <c r="K7" s="9" t="str">
        <f>IF(COUNTIFS('3. 5기 수입지출장부'!$C$5:$C$2007,$C6,'3. 5기 수입지출장부'!$A$5:$A$2007,"&gt;="&amp;DATE(2026,K$5,1),'3. 5기 수입지출장부'!$A$5:$A$2007,"&lt;"&amp;DATE(2026,K$5+1,1),'3. 5기 수입지출장부'!$E$5:$E$2007,"&gt;0")&gt;0,"■","")</f>
        <v>■</v>
      </c>
      <c r="L7" s="9" t="str">
        <f>IF(COUNTIFS('3. 5기 수입지출장부'!$C$5:$C$2007,$C6,'3. 5기 수입지출장부'!$A$5:$A$2007,"&gt;="&amp;DATE(2026,L$5,1),'3. 5기 수입지출장부'!$A$5:$A$2007,"&lt;"&amp;DATE(2026,L$5+1,1),'3. 5기 수입지출장부'!$E$5:$E$2007,"&gt;0")&gt;0,"■","")</f>
        <v/>
      </c>
      <c r="M7" s="9" t="str">
        <f>IF(COUNTIFS('3. 5기 수입지출장부'!$C$5:$C$2007,$C6,'3. 5기 수입지출장부'!$A$5:$A$2007,"&gt;="&amp;DATE(2026,M$5,1),'3. 5기 수입지출장부'!$A$5:$A$2007,"&lt;"&amp;DATE(2026,M$5+1,1),'3. 5기 수입지출장부'!$E$5:$E$2007,"&gt;0")&gt;0,"■","")</f>
        <v/>
      </c>
      <c r="N7" s="9" t="str">
        <f>IF(COUNTIFS('3. 5기 수입지출장부'!$C$5:$C$2007,$C6,'3. 5기 수입지출장부'!$A$5:$A$2007,"&gt;="&amp;DATE(2026,N$5,1),'3. 5기 수입지출장부'!$A$5:$A$2007,"&lt;"&amp;DATE(2026,N$5+1,1),'3. 5기 수입지출장부'!$E$5:$E$2007,"&gt;0")&gt;0,"■","")</f>
        <v>■</v>
      </c>
      <c r="O7" s="9" t="str">
        <f>IF(COUNTIFS('3. 5기 수입지출장부'!$C$5:$C$2007,$C6,'3. 5기 수입지출장부'!$A$5:$A$2007,"&gt;="&amp;DATE(2026,O$5,1),'3. 5기 수입지출장부'!$A$5:$A$2007,"&lt;"&amp;DATE(2026,O$5+1,1),'3. 5기 수입지출장부'!$E$5:$E$2007,"&gt;0")&gt;0,"■","")</f>
        <v/>
      </c>
      <c r="P7" s="9" t="str">
        <f>IF(COUNTIFS('3. 5기 수입지출장부'!$C$5:$C$2007,$C6,'3. 5기 수입지출장부'!$A$5:$A$2007,"&gt;="&amp;DATE(2026,P$5,1),'3. 5기 수입지출장부'!$A$5:$A$2007,"&lt;"&amp;DATE(2026,P$5+1,1),'3. 5기 수입지출장부'!$E$5:$E$2007,"&gt;0")&gt;0,"■","")</f>
        <v/>
      </c>
      <c r="Q7" s="206">
        <f>'3. 5기 수입지출장부'!E196</f>
        <v>1200000</v>
      </c>
      <c r="R7" s="207"/>
      <c r="S7" s="196"/>
      <c r="T7" s="196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218">
        <v>2</v>
      </c>
      <c r="C8" s="208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200">
        <f>Q9/Q8</f>
        <v>0</v>
      </c>
      <c r="T8" s="197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205"/>
      <c r="C9" s="209"/>
      <c r="D9" s="14" t="s">
        <v>280</v>
      </c>
      <c r="E9" s="9" t="str">
        <f>IF(COUNTIFS('3. 5기 수입지출장부'!$C$5:$C$2007,$C8,'3. 5기 수입지출장부'!$A$5:$A$2007,"&gt;="&amp;DATE(2026,E$5,1),'3. 5기 수입지출장부'!$A$5:$A$2007,"&lt;"&amp;DATE(2026,E$5+1,1),'3. 5기 수입지출장부'!$E$5:$E$2007,"&gt;0")&gt;0,"■","")</f>
        <v/>
      </c>
      <c r="F9" s="14" t="str">
        <f>IF(COUNTIFS('3. 5기 수입지출장부'!$C$5:$C$2007,$C8,'3. 5기 수입지출장부'!$A$5:$A$2007,"&gt;="&amp;DATE(2026,F$5,1),'3. 5기 수입지출장부'!$A$5:$A$2007,"&lt;"&amp;DATE(2026,F$5+1,1),'3. 5기 수입지출장부'!$E$5:$E$2007,"&gt;0")&gt;0,"■","")</f>
        <v/>
      </c>
      <c r="G9" s="14" t="str">
        <f>IF(COUNTIFS('3. 5기 수입지출장부'!$C$5:$C$2007,$C8,'3. 5기 수입지출장부'!$A$5:$A$2007,"&gt;="&amp;DATE(2026,G$5,1),'3. 5기 수입지출장부'!$A$5:$A$2007,"&lt;"&amp;DATE(2026,G$5+1,1),'3. 5기 수입지출장부'!$E$5:$E$2007,"&gt;0")&gt;0,"■","")</f>
        <v/>
      </c>
      <c r="H9" s="9" t="str">
        <f>IF(COUNTIFS('3. 5기 수입지출장부'!$C$5:$C$2007,$C8,'3. 5기 수입지출장부'!$A$5:$A$2007,"&gt;="&amp;DATE(2026,H$5,1),'3. 5기 수입지출장부'!$A$5:$A$2007,"&lt;"&amp;DATE(2026,H$5+1,1),'3. 5기 수입지출장부'!$E$5:$E$2007,"&gt;0")&gt;0,"■","")</f>
        <v/>
      </c>
      <c r="I9" s="14" t="str">
        <f>IF(COUNTIFS('3. 5기 수입지출장부'!$C$5:$C$2007,$C8,'3. 5기 수입지출장부'!$A$5:$A$2007,"&gt;="&amp;DATE(2026,I$5,1),'3. 5기 수입지출장부'!$A$5:$A$2007,"&lt;"&amp;DATE(2026,I$5+1,1),'3. 5기 수입지출장부'!$E$5:$E$2007,"&gt;0")&gt;0,"■","")</f>
        <v/>
      </c>
      <c r="J9" s="9" t="str">
        <f>IF(COUNTIFS('3. 5기 수입지출장부'!$C$5:$C$2007,$C8,'3. 5기 수입지출장부'!$A$5:$A$2007,"&gt;="&amp;DATE(2026,J$5,1),'3. 5기 수입지출장부'!$A$5:$A$2007,"&lt;"&amp;DATE(2026,J$5+1,1),'3. 5기 수입지출장부'!$E$5:$E$2007,"&gt;0")&gt;0,"■","")</f>
        <v/>
      </c>
      <c r="K9" s="14" t="str">
        <f>IF(COUNTIFS('3. 5기 수입지출장부'!$C$5:$C$2007,$C8,'3. 5기 수입지출장부'!$A$5:$A$2007,"&gt;="&amp;DATE(2026,K$5,1),'3. 5기 수입지출장부'!$A$5:$A$2007,"&lt;"&amp;DATE(2026,K$5+1,1),'3. 5기 수입지출장부'!$E$5:$E$2007,"&gt;0")&gt;0,"■","")</f>
        <v/>
      </c>
      <c r="L9" s="9" t="str">
        <f>IF(COUNTIFS('3. 5기 수입지출장부'!$C$5:$C$2007,$C8,'3. 5기 수입지출장부'!$A$5:$A$2007,"&gt;="&amp;DATE(2026,L$5,1),'3. 5기 수입지출장부'!$A$5:$A$2007,"&lt;"&amp;DATE(2026,L$5+1,1),'3. 5기 수입지출장부'!$E$5:$E$2007,"&gt;0")&gt;0,"■","")</f>
        <v/>
      </c>
      <c r="M9" s="14" t="str">
        <f>IF(COUNTIFS('3. 5기 수입지출장부'!$C$5:$C$2007,$C8,'3. 5기 수입지출장부'!$A$5:$A$2007,"&gt;="&amp;DATE(2026,M$5,1),'3. 5기 수입지출장부'!$A$5:$A$2007,"&lt;"&amp;DATE(2026,M$5+1,1),'3. 5기 수입지출장부'!$E$5:$E$2007,"&gt;0")&gt;0,"■","")</f>
        <v/>
      </c>
      <c r="N9" s="9" t="str">
        <f>IF(COUNTIFS('3. 5기 수입지출장부'!$C$5:$C$2007,$C8,'3. 5기 수입지출장부'!$A$5:$A$2007,"&gt;="&amp;DATE(2026,N$5,1),'3. 5기 수입지출장부'!$A$5:$A$2007,"&lt;"&amp;DATE(2026,N$5+1,1),'3. 5기 수입지출장부'!$E$5:$E$2007,"&gt;0")&gt;0,"■","")</f>
        <v/>
      </c>
      <c r="O9" s="14" t="str">
        <f>IF(COUNTIFS('3. 5기 수입지출장부'!$C$5:$C$2007,$C8,'3. 5기 수입지출장부'!$A$5:$A$2007,"&gt;="&amp;DATE(2026,O$5,1),'3. 5기 수입지출장부'!$A$5:$A$2007,"&lt;"&amp;DATE(2026,O$5+1,1),'3. 5기 수입지출장부'!$E$5:$E$2007,"&gt;0")&gt;0,"■","")</f>
        <v/>
      </c>
      <c r="P9" s="14" t="str">
        <f>IF(COUNTIFS('3. 5기 수입지출장부'!$C$5:$C$2007,$C8,'3. 5기 수입지출장부'!$A$5:$A$2007,"&gt;="&amp;DATE(2026,P$5,1),'3. 5기 수입지출장부'!$A$5:$A$2007,"&lt;"&amp;DATE(2026,P$5+1,1),'3. 5기 수입지출장부'!$E$5:$E$2007,"&gt;0")&gt;0,"■","")</f>
        <v/>
      </c>
      <c r="Q9" s="206">
        <f>'3. 5기 수입지출장부'!E197</f>
        <v>0</v>
      </c>
      <c r="R9" s="207"/>
      <c r="S9" s="196"/>
      <c r="T9" s="196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218">
        <f>B8+1</f>
        <v>3</v>
      </c>
      <c r="C10" s="208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14">
        <f>'2. 5기_예산목간'!D27</f>
        <v>540000</v>
      </c>
      <c r="R10" s="215"/>
      <c r="S10" s="200">
        <f>Q11/Q10</f>
        <v>0.30740740740740741</v>
      </c>
      <c r="T10" s="197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205"/>
      <c r="C11" s="209"/>
      <c r="D11" s="14" t="s">
        <v>280</v>
      </c>
      <c r="E11" s="9" t="str">
        <f>IF(COUNTIFS('3. 5기 수입지출장부'!$C$5:$C$2007,$C10,'3. 5기 수입지출장부'!$A$5:$A$2007,"&gt;="&amp;DATE(2026,E$5,1),'3. 5기 수입지출장부'!$A$5:$A$2007,"&lt;"&amp;DATE(2026,E$5+1,1),'3. 5기 수입지출장부'!$E$5:$E$2007,"&gt;0")&gt;0,"■","")</f>
        <v/>
      </c>
      <c r="F11" s="14" t="str">
        <f>IF(COUNTIFS('3. 5기 수입지출장부'!$C$5:$C$2007,$C10,'3. 5기 수입지출장부'!$A$5:$A$2007,"&gt;="&amp;DATE(2026,F$5,1),'3. 5기 수입지출장부'!$A$5:$A$2007,"&lt;"&amp;DATE(2026,F$5+1,1),'3. 5기 수입지출장부'!$E$5:$E$2007,"&gt;0")&gt;0,"■","")</f>
        <v/>
      </c>
      <c r="G11" s="14" t="str">
        <f>IF(COUNTIFS('3. 5기 수입지출장부'!$C$5:$C$2007,$C10,'3. 5기 수입지출장부'!$A$5:$A$2007,"&gt;="&amp;DATE(2026,G$5,1),'3. 5기 수입지출장부'!$A$5:$A$2007,"&lt;"&amp;DATE(2026,G$5+1,1),'3. 5기 수입지출장부'!$E$5:$E$2007,"&gt;0")&gt;0,"■","")</f>
        <v/>
      </c>
      <c r="H11" s="9" t="str">
        <f>IF(COUNTIFS('3. 5기 수입지출장부'!$C$5:$C$2007,$C10,'3. 5기 수입지출장부'!$A$5:$A$2007,"&gt;="&amp;DATE(2026,H$5,1),'3. 5기 수입지출장부'!$A$5:$A$2007,"&lt;"&amp;DATE(2026,H$5+1,1),'3. 5기 수입지출장부'!$E$5:$E$2007,"&gt;0")&gt;0,"■","")</f>
        <v>■</v>
      </c>
      <c r="I11" s="14" t="str">
        <f>IF(COUNTIFS('3. 5기 수입지출장부'!$C$5:$C$2007,$C10,'3. 5기 수입지출장부'!$A$5:$A$2007,"&gt;="&amp;DATE(2026,I$5,1),'3. 5기 수입지출장부'!$A$5:$A$2007,"&lt;"&amp;DATE(2026,I$5+1,1),'3. 5기 수입지출장부'!$E$5:$E$2007,"&gt;0")&gt;0,"■","")</f>
        <v/>
      </c>
      <c r="J11" s="9" t="str">
        <f>IF(COUNTIFS('3. 5기 수입지출장부'!$C$5:$C$2007,$C10,'3. 5기 수입지출장부'!$A$5:$A$2007,"&gt;="&amp;DATE(2026,J$5,1),'3. 5기 수입지출장부'!$A$5:$A$2007,"&lt;"&amp;DATE(2026,J$5+1,1),'3. 5기 수입지출장부'!$E$5:$E$2007,"&gt;0")&gt;0,"■","")</f>
        <v/>
      </c>
      <c r="K11" s="14" t="str">
        <f>IF(COUNTIFS('3. 5기 수입지출장부'!$C$5:$C$2007,$C10,'3. 5기 수입지출장부'!$A$5:$A$2007,"&gt;="&amp;DATE(2026,K$5,1),'3. 5기 수입지출장부'!$A$5:$A$2007,"&lt;"&amp;DATE(2026,K$5+1,1),'3. 5기 수입지출장부'!$E$5:$E$2007,"&gt;0")&gt;0,"■","")</f>
        <v/>
      </c>
      <c r="L11" s="9" t="str">
        <f>IF(COUNTIFS('3. 5기 수입지출장부'!$C$5:$C$2007,$C10,'3. 5기 수입지출장부'!$A$5:$A$2007,"&gt;="&amp;DATE(2026,L$5,1),'3. 5기 수입지출장부'!$A$5:$A$2007,"&lt;"&amp;DATE(2026,L$5+1,1),'3. 5기 수입지출장부'!$E$5:$E$2007,"&gt;0")&gt;0,"■","")</f>
        <v/>
      </c>
      <c r="M11" s="14" t="str">
        <f>IF(COUNTIFS('3. 5기 수입지출장부'!$C$5:$C$2007,$C10,'3. 5기 수입지출장부'!$A$5:$A$2007,"&gt;="&amp;DATE(2026,M$5,1),'3. 5기 수입지출장부'!$A$5:$A$2007,"&lt;"&amp;DATE(2026,M$5+1,1),'3. 5기 수입지출장부'!$E$5:$E$2007,"&gt;0")&gt;0,"■","")</f>
        <v/>
      </c>
      <c r="N11" s="9" t="str">
        <f>IF(COUNTIFS('3. 5기 수입지출장부'!$C$5:$C$2007,$C10,'3. 5기 수입지출장부'!$A$5:$A$2007,"&gt;="&amp;DATE(2026,N$5,1),'3. 5기 수입지출장부'!$A$5:$A$2007,"&lt;"&amp;DATE(2026,N$5+1,1),'3. 5기 수입지출장부'!$E$5:$E$2007,"&gt;0")&gt;0,"■","")</f>
        <v/>
      </c>
      <c r="O11" s="14" t="str">
        <f>IF(COUNTIFS('3. 5기 수입지출장부'!$C$5:$C$2007,$C10,'3. 5기 수입지출장부'!$A$5:$A$2007,"&gt;="&amp;DATE(2026,O$5,1),'3. 5기 수입지출장부'!$A$5:$A$2007,"&lt;"&amp;DATE(2026,O$5+1,1),'3. 5기 수입지출장부'!$E$5:$E$2007,"&gt;0")&gt;0,"■","")</f>
        <v/>
      </c>
      <c r="P11" s="14" t="str">
        <f>IF(COUNTIFS('3. 5기 수입지출장부'!$C$5:$C$2007,$C10,'3. 5기 수입지출장부'!$A$5:$A$2007,"&gt;="&amp;DATE(2026,P$5,1),'3. 5기 수입지출장부'!$A$5:$A$2007,"&lt;"&amp;DATE(2026,P$5+1,1),'3. 5기 수입지출장부'!$E$5:$E$2007,"&gt;0")&gt;0,"■","")</f>
        <v/>
      </c>
      <c r="Q11" s="231">
        <f>'3. 5기 수입지출장부'!E198</f>
        <v>166000</v>
      </c>
      <c r="R11" s="232"/>
      <c r="S11" s="196"/>
      <c r="T11" s="196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218">
        <v>4</v>
      </c>
      <c r="C12" s="208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200">
        <f>Q13/Q12</f>
        <v>0</v>
      </c>
      <c r="T12" s="121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205"/>
      <c r="C13" s="209"/>
      <c r="D13" s="14" t="s">
        <v>280</v>
      </c>
      <c r="E13" s="9" t="str">
        <f>IF(COUNTIFS('3. 5기 수입지출장부'!$C$5:$C$2007,$C12,'3. 5기 수입지출장부'!$A$5:$A$2007,"&gt;="&amp;DATE(2026,E$5,1),'3. 5기 수입지출장부'!$A$5:$A$2007,"&lt;"&amp;DATE(2026,E$5+1,1),'3. 5기 수입지출장부'!$E$5:$E$2007,"&gt;0")&gt;0,"■","")</f>
        <v/>
      </c>
      <c r="F13" s="14" t="str">
        <f>IF(COUNTIFS('3. 5기 수입지출장부'!$C$5:$C$2007,$C12,'3. 5기 수입지출장부'!$A$5:$A$2007,"&gt;="&amp;DATE(2026,F$5,1),'3. 5기 수입지출장부'!$A$5:$A$2007,"&lt;"&amp;DATE(2026,F$5+1,1),'3. 5기 수입지출장부'!$E$5:$E$2007,"&gt;0")&gt;0,"■","")</f>
        <v/>
      </c>
      <c r="G13" s="14" t="str">
        <f>IF(COUNTIFS('3. 5기 수입지출장부'!$C$5:$C$2007,$C12,'3. 5기 수입지출장부'!$A$5:$A$2007,"&gt;="&amp;DATE(2026,G$5,1),'3. 5기 수입지출장부'!$A$5:$A$2007,"&lt;"&amp;DATE(2026,G$5+1,1),'3. 5기 수입지출장부'!$E$5:$E$2007,"&gt;0")&gt;0,"■","")</f>
        <v/>
      </c>
      <c r="H13" s="9" t="str">
        <f>IF(COUNTIFS('3. 5기 수입지출장부'!$C$5:$C$2007,$C12,'3. 5기 수입지출장부'!$A$5:$A$2007,"&gt;="&amp;DATE(2026,H$5,1),'3. 5기 수입지출장부'!$A$5:$A$2007,"&lt;"&amp;DATE(2026,H$5+1,1),'3. 5기 수입지출장부'!$E$5:$E$2007,"&gt;0")&gt;0,"■","")</f>
        <v/>
      </c>
      <c r="I13" s="14" t="str">
        <f>IF(COUNTIFS('3. 5기 수입지출장부'!$C$5:$C$2007,$C12,'3. 5기 수입지출장부'!$A$5:$A$2007,"&gt;="&amp;DATE(2026,I$5,1),'3. 5기 수입지출장부'!$A$5:$A$2007,"&lt;"&amp;DATE(2026,I$5+1,1),'3. 5기 수입지출장부'!$E$5:$E$2007,"&gt;0")&gt;0,"■","")</f>
        <v/>
      </c>
      <c r="J13" s="9" t="str">
        <f>IF(COUNTIFS('3. 5기 수입지출장부'!$C$5:$C$2007,$C12,'3. 5기 수입지출장부'!$A$5:$A$2007,"&gt;="&amp;DATE(2026,J$5,1),'3. 5기 수입지출장부'!$A$5:$A$2007,"&lt;"&amp;DATE(2026,J$5+1,1),'3. 5기 수입지출장부'!$E$5:$E$2007,"&gt;0")&gt;0,"■","")</f>
        <v/>
      </c>
      <c r="K13" s="14" t="str">
        <f>IF(COUNTIFS('3. 5기 수입지출장부'!$C$5:$C$2007,$C12,'3. 5기 수입지출장부'!$A$5:$A$2007,"&gt;="&amp;DATE(2026,K$5,1),'3. 5기 수입지출장부'!$A$5:$A$2007,"&lt;"&amp;DATE(2026,K$5+1,1),'3. 5기 수입지출장부'!$E$5:$E$2007,"&gt;0")&gt;0,"■","")</f>
        <v/>
      </c>
      <c r="L13" s="9" t="str">
        <f>IF(COUNTIFS('3. 5기 수입지출장부'!$C$5:$C$2007,$C12,'3. 5기 수입지출장부'!$A$5:$A$2007,"&gt;="&amp;DATE(2026,L$5,1),'3. 5기 수입지출장부'!$A$5:$A$2007,"&lt;"&amp;DATE(2026,L$5+1,1),'3. 5기 수입지출장부'!$E$5:$E$2007,"&gt;0")&gt;0,"■","")</f>
        <v/>
      </c>
      <c r="M13" s="14" t="str">
        <f>IF(COUNTIFS('3. 5기 수입지출장부'!$C$5:$C$2007,$C12,'3. 5기 수입지출장부'!$A$5:$A$2007,"&gt;="&amp;DATE(2026,M$5,1),'3. 5기 수입지출장부'!$A$5:$A$2007,"&lt;"&amp;DATE(2026,M$5+1,1),'3. 5기 수입지출장부'!$E$5:$E$2007,"&gt;0")&gt;0,"■","")</f>
        <v/>
      </c>
      <c r="N13" s="9" t="str">
        <f>IF(COUNTIFS('3. 5기 수입지출장부'!$C$5:$C$2007,$C12,'3. 5기 수입지출장부'!$A$5:$A$2007,"&gt;="&amp;DATE(2026,N$5,1),'3. 5기 수입지출장부'!$A$5:$A$2007,"&lt;"&amp;DATE(2026,N$5+1,1),'3. 5기 수입지출장부'!$E$5:$E$2007,"&gt;0")&gt;0,"■","")</f>
        <v/>
      </c>
      <c r="O13" s="14" t="str">
        <f>IF(COUNTIFS('3. 5기 수입지출장부'!$C$5:$C$2007,$C12,'3. 5기 수입지출장부'!$A$5:$A$2007,"&gt;="&amp;DATE(2026,O$5,1),'3. 5기 수입지출장부'!$A$5:$A$2007,"&lt;"&amp;DATE(2026,O$5+1,1),'3. 5기 수입지출장부'!$E$5:$E$2007,"&gt;0")&gt;0,"■","")</f>
        <v/>
      </c>
      <c r="P13" s="14" t="str">
        <f>IF(COUNTIFS('3. 5기 수입지출장부'!$C$5:$C$2007,$C12,'3. 5기 수입지출장부'!$A$5:$A$2007,"&gt;="&amp;DATE(2026,P$5,1),'3. 5기 수입지출장부'!$A$5:$A$2007,"&lt;"&amp;DATE(2026,P$5+1,1),'3. 5기 수입지출장부'!$E$5:$E$2007,"&gt;0")&gt;0,"■","")</f>
        <v/>
      </c>
      <c r="Q13" s="206">
        <f>'3. 5기 수입지출장부'!E199</f>
        <v>0</v>
      </c>
      <c r="R13" s="207"/>
      <c r="S13" s="196"/>
      <c r="T13" s="121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204">
        <v>5</v>
      </c>
      <c r="C14" s="208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83">
        <f>'2. 5기_예산목간'!D29</f>
        <v>400000</v>
      </c>
      <c r="R14" s="184"/>
      <c r="S14" s="238">
        <f>Q15/Q14</f>
        <v>0.94</v>
      </c>
      <c r="T14" s="195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03"/>
      <c r="AL14" s="180"/>
      <c r="AM14" s="180"/>
      <c r="AN14" s="180"/>
      <c r="AO14" s="180"/>
      <c r="AP14" s="180"/>
    </row>
    <row r="15" spans="1:42" ht="24.75" customHeight="1">
      <c r="A15" s="3"/>
      <c r="B15" s="205"/>
      <c r="C15" s="209"/>
      <c r="D15" s="14" t="s">
        <v>280</v>
      </c>
      <c r="E15" s="18" t="str">
        <f>IF(COUNTIFS('3. 5기 수입지출장부'!$C$5:$C$2007,$C14,'3. 5기 수입지출장부'!$A$5:$A$2007,"&gt;="&amp;DATE(2026,E$5,1),'3. 5기 수입지출장부'!$A$5:$A$2007,"&lt;"&amp;DATE(2026,E$5+1,1),'3. 5기 수입지출장부'!$E$5:$E$2007,"&gt;0")&gt;0,"■","")</f>
        <v/>
      </c>
      <c r="F15" s="14" t="str">
        <f>IF(COUNTIFS('3. 5기 수입지출장부'!$C$5:$C$2007,$C14,'3. 5기 수입지출장부'!$A$5:$A$2007,"&gt;="&amp;DATE(2026,F$5,1),'3. 5기 수입지출장부'!$A$5:$A$2007,"&lt;"&amp;DATE(2026,F$5+1,1),'3. 5기 수입지출장부'!$E$5:$E$2007,"&gt;0")&gt;0,"■","")</f>
        <v/>
      </c>
      <c r="G15" s="14" t="str">
        <f>IF(COUNTIFS('3. 5기 수입지출장부'!$C$5:$C$2007,$C14,'3. 5기 수입지출장부'!$A$5:$A$2007,"&gt;="&amp;DATE(2026,G$5,1),'3. 5기 수입지출장부'!$A$5:$A$2007,"&lt;"&amp;DATE(2026,G$5+1,1),'3. 5기 수입지출장부'!$E$5:$E$2007,"&gt;0")&gt;0,"■","")</f>
        <v/>
      </c>
      <c r="H15" s="9" t="str">
        <f>IF(COUNTIFS('3. 5기 수입지출장부'!$C$5:$C$2007,$C14,'3. 5기 수입지출장부'!$A$5:$A$2007,"&gt;="&amp;DATE(2026,H$5,1),'3. 5기 수입지출장부'!$A$5:$A$2007,"&lt;"&amp;DATE(2026,H$5+1,1),'3. 5기 수입지출장부'!$E$5:$E$2007,"&gt;0")&gt;0,"■","")</f>
        <v/>
      </c>
      <c r="I15" s="14" t="str">
        <f>IF(COUNTIFS('3. 5기 수입지출장부'!$C$5:$C$2007,$C14,'3. 5기 수입지출장부'!$A$5:$A$2007,"&gt;="&amp;DATE(2026,I$5,1),'3. 5기 수입지출장부'!$A$5:$A$2007,"&lt;"&amp;DATE(2026,I$5+1,1),'3. 5기 수입지출장부'!$E$5:$E$2007,"&gt;0")&gt;0,"■","")</f>
        <v/>
      </c>
      <c r="J15" s="14" t="str">
        <f>IF(COUNTIFS('3. 5기 수입지출장부'!$C$5:$C$2007,$C14,'3. 5기 수입지출장부'!$A$5:$A$2007,"&gt;="&amp;DATE(2026,J$5,1),'3. 5기 수입지출장부'!$A$5:$A$2007,"&lt;"&amp;DATE(2026,J$5+1,1),'3. 5기 수입지출장부'!$E$5:$E$2007,"&gt;0")&gt;0,"■","")</f>
        <v/>
      </c>
      <c r="K15" s="14" t="str">
        <f>IF(COUNTIFS('3. 5기 수입지출장부'!$C$5:$C$2007,$C14,'3. 5기 수입지출장부'!$A$5:$A$2007,"&gt;="&amp;DATE(2026,K$5,1),'3. 5기 수입지출장부'!$A$5:$A$2007,"&lt;"&amp;DATE(2026,K$5+1,1),'3. 5기 수입지출장부'!$E$5:$E$2007,"&gt;0")&gt;0,"■","")</f>
        <v/>
      </c>
      <c r="L15" s="14" t="str">
        <f>IF(COUNTIFS('3. 5기 수입지출장부'!$C$5:$C$2007,$C14,'3. 5기 수입지출장부'!$A$5:$A$2007,"&gt;="&amp;DATE(2026,L$5,1),'3. 5기 수입지출장부'!$A$5:$A$2007,"&lt;"&amp;DATE(2026,L$5+1,1),'3. 5기 수입지출장부'!$E$5:$E$2007,"&gt;0")&gt;0,"■","")</f>
        <v/>
      </c>
      <c r="M15" s="14" t="str">
        <f>IF(COUNTIFS('3. 5기 수입지출장부'!$C$5:$C$2007,$C14,'3. 5기 수입지출장부'!$A$5:$A$2007,"&gt;="&amp;DATE(2026,M$5,1),'3. 5기 수입지출장부'!$A$5:$A$2007,"&lt;"&amp;DATE(2026,M$5+1,1),'3. 5기 수입지출장부'!$E$5:$E$2007,"&gt;0")&gt;0,"■","")</f>
        <v>■</v>
      </c>
      <c r="N15" s="14" t="str">
        <f>IF(COUNTIFS('3. 5기 수입지출장부'!$C$5:$C$2007,$C14,'3. 5기 수입지출장부'!$A$5:$A$2007,"&gt;="&amp;DATE(2026,N$5,1),'3. 5기 수입지출장부'!$A$5:$A$2007,"&lt;"&amp;DATE(2026,N$5+1,1),'3. 5기 수입지출장부'!$E$5:$E$2007,"&gt;0")&gt;0,"■","")</f>
        <v/>
      </c>
      <c r="O15" s="14" t="str">
        <f>IF(COUNTIFS('3. 5기 수입지출장부'!$C$5:$C$2007,$C14,'3. 5기 수입지출장부'!$A$5:$A$2007,"&gt;="&amp;DATE(2026,O$5,1),'3. 5기 수입지출장부'!$A$5:$A$2007,"&lt;"&amp;DATE(2026,O$5+1,1),'3. 5기 수입지출장부'!$E$5:$E$2007,"&gt;0")&gt;0,"■","")</f>
        <v/>
      </c>
      <c r="P15" s="14" t="str">
        <f>IF(COUNTIFS('3. 5기 수입지출장부'!$C$5:$C$2007,$C14,'3. 5기 수입지출장부'!$A$5:$A$2007,"&gt;="&amp;DATE(2026,P$5,1),'3. 5기 수입지출장부'!$A$5:$A$2007,"&lt;"&amp;DATE(2026,P$5+1,1),'3. 5기 수입지출장부'!$E$5:$E$2007,"&gt;0")&gt;0,"■","")</f>
        <v/>
      </c>
      <c r="Q15" s="248">
        <f>'3. 5기 수입지출장부'!E200</f>
        <v>376000</v>
      </c>
      <c r="R15" s="249"/>
      <c r="S15" s="196"/>
      <c r="T15" s="196"/>
      <c r="U15" s="3"/>
      <c r="V15" s="3"/>
      <c r="W15" s="3"/>
      <c r="X15" s="19"/>
      <c r="Y15" s="179"/>
      <c r="Z15" s="179"/>
      <c r="AA15" s="192"/>
      <c r="AB15" s="180"/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179"/>
      <c r="AN15" s="180"/>
      <c r="AO15" s="179"/>
      <c r="AP15" s="179"/>
    </row>
    <row r="16" spans="1:42" ht="24.75" customHeight="1">
      <c r="A16" s="3"/>
      <c r="B16" s="218">
        <v>6</v>
      </c>
      <c r="C16" s="208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183">
        <f>'2. 5기_예산목간'!D30</f>
        <v>200000</v>
      </c>
      <c r="R16" s="184"/>
      <c r="S16" s="238">
        <f>Q17/Q16</f>
        <v>0.67500000000000004</v>
      </c>
      <c r="T16" s="189" t="s">
        <v>290</v>
      </c>
      <c r="U16" s="3"/>
      <c r="V16" s="3"/>
      <c r="W16" s="3"/>
      <c r="X16" s="19"/>
      <c r="Y16" s="180"/>
      <c r="Z16" s="18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192"/>
      <c r="AN16" s="180"/>
      <c r="AO16" s="180"/>
      <c r="AP16" s="180"/>
    </row>
    <row r="17" spans="1:42" ht="24.75" customHeight="1">
      <c r="A17" s="3"/>
      <c r="B17" s="205"/>
      <c r="C17" s="209"/>
      <c r="D17" s="14" t="s">
        <v>280</v>
      </c>
      <c r="E17" s="14" t="str">
        <f>IF(COUNTIFS('3. 5기 수입지출장부'!$C$5:$C$2007,$C16,'3. 5기 수입지출장부'!$A$5:$A$2007,"&gt;="&amp;DATE(2026,E$5,1),'3. 5기 수입지출장부'!$A$5:$A$2007,"&lt;"&amp;DATE(2026,E$5+1,1),'3. 5기 수입지출장부'!$E$5:$E$2007,"&gt;0")&gt;0,"■","")</f>
        <v/>
      </c>
      <c r="F17" s="14" t="str">
        <f>IF(COUNTIFS('3. 5기 수입지출장부'!$C$5:$C$2007,$C16,'3. 5기 수입지출장부'!$A$5:$A$2007,"&gt;="&amp;DATE(2026,F$5,1),'3. 5기 수입지출장부'!$A$5:$A$2007,"&lt;"&amp;DATE(2026,F$5+1,1),'3. 5기 수입지출장부'!$E$5:$E$2007,"&gt;0")&gt;0,"■","")</f>
        <v/>
      </c>
      <c r="G17" s="14" t="str">
        <f>IF(COUNTIFS('3. 5기 수입지출장부'!$C$5:$C$2007,$C16,'3. 5기 수입지출장부'!$A$5:$A$2007,"&gt;="&amp;DATE(2026,G$5,1),'3. 5기 수입지출장부'!$A$5:$A$2007,"&lt;"&amp;DATE(2026,G$5+1,1),'3. 5기 수입지출장부'!$E$5:$E$2007,"&gt;0")&gt;0,"■","")</f>
        <v/>
      </c>
      <c r="H17" s="9" t="str">
        <f>IF(COUNTIFS('3. 5기 수입지출장부'!$C$5:$C$2007,$C16,'3. 5기 수입지출장부'!$A$5:$A$2007,"&gt;="&amp;DATE(2026,H$5,1),'3. 5기 수입지출장부'!$A$5:$A$2007,"&lt;"&amp;DATE(2026,H$5+1,1),'3. 5기 수입지출장부'!$E$5:$E$2007,"&gt;0")&gt;0,"■","")</f>
        <v/>
      </c>
      <c r="I17" s="14" t="str">
        <f>IF(COUNTIFS('3. 5기 수입지출장부'!$C$5:$C$2007,$C16,'3. 5기 수입지출장부'!$A$5:$A$2007,"&gt;="&amp;DATE(2026,I$5,1),'3. 5기 수입지출장부'!$A$5:$A$2007,"&lt;"&amp;DATE(2026,I$5+1,1),'3. 5기 수입지출장부'!$E$5:$E$2007,"&gt;0")&gt;0,"■","")</f>
        <v/>
      </c>
      <c r="J17" s="14" t="str">
        <f>IF(COUNTIFS('3. 5기 수입지출장부'!$C$5:$C$2007,$C16,'3. 5기 수입지출장부'!$A$5:$A$2007,"&gt;="&amp;DATE(2026,J$5,1),'3. 5기 수입지출장부'!$A$5:$A$2007,"&lt;"&amp;DATE(2026,J$5+1,1),'3. 5기 수입지출장부'!$E$5:$E$2007,"&gt;0")&gt;0,"■","")</f>
        <v/>
      </c>
      <c r="K17" s="14" t="str">
        <f>IF(COUNTIFS('3. 5기 수입지출장부'!$C$5:$C$2007,$C16,'3. 5기 수입지출장부'!$A$5:$A$2007,"&gt;="&amp;DATE(2026,K$5,1),'3. 5기 수입지출장부'!$A$5:$A$2007,"&lt;"&amp;DATE(2026,K$5+1,1),'3. 5기 수입지출장부'!$E$5:$E$2007,"&gt;0")&gt;0,"■","")</f>
        <v/>
      </c>
      <c r="L17" s="14" t="str">
        <f>IF(COUNTIFS('3. 5기 수입지출장부'!$C$5:$C$2007,$C16,'3. 5기 수입지출장부'!$A$5:$A$2007,"&gt;="&amp;DATE(2026,L$5,1),'3. 5기 수입지출장부'!$A$5:$A$2007,"&lt;"&amp;DATE(2026,L$5+1,1),'3. 5기 수입지출장부'!$E$5:$E$2007,"&gt;0")&gt;0,"■","")</f>
        <v>■</v>
      </c>
      <c r="M17" s="14" t="str">
        <f>IF(COUNTIFS('3. 5기 수입지출장부'!$C$5:$C$2007,$C16,'3. 5기 수입지출장부'!$A$5:$A$2007,"&gt;="&amp;DATE(2026,M$5,1),'3. 5기 수입지출장부'!$A$5:$A$2007,"&lt;"&amp;DATE(2026,M$5+1,1),'3. 5기 수입지출장부'!$E$5:$E$2007,"&gt;0")&gt;0,"■","")</f>
        <v/>
      </c>
      <c r="N17" s="14" t="str">
        <f>IF(COUNTIFS('3. 5기 수입지출장부'!$C$5:$C$2007,$C16,'3. 5기 수입지출장부'!$A$5:$A$2007,"&gt;="&amp;DATE(2026,N$5,1),'3. 5기 수입지출장부'!$A$5:$A$2007,"&lt;"&amp;DATE(2026,N$5+1,1),'3. 5기 수입지출장부'!$E$5:$E$2007,"&gt;0")&gt;0,"■","")</f>
        <v/>
      </c>
      <c r="O17" s="14" t="str">
        <f>IF(COUNTIFS('3. 5기 수입지출장부'!$C$5:$C$2007,$C16,'3. 5기 수입지출장부'!$A$5:$A$2007,"&gt;="&amp;DATE(2026,O$5,1),'3. 5기 수입지출장부'!$A$5:$A$2007,"&lt;"&amp;DATE(2026,O$5+1,1),'3. 5기 수입지출장부'!$E$5:$E$2007,"&gt;0")&gt;0,"■","")</f>
        <v/>
      </c>
      <c r="P17" s="14" t="str">
        <f>IF(COUNTIFS('3. 5기 수입지출장부'!$C$5:$C$2007,$C16,'3. 5기 수입지출장부'!$A$5:$A$2007,"&gt;="&amp;DATE(2026,P$5,1),'3. 5기 수입지출장부'!$A$5:$A$2007,"&lt;"&amp;DATE(2026,P$5+1,1),'3. 5기 수입지출장부'!$E$5:$E$2007,"&gt;0")&gt;0,"■","")</f>
        <v/>
      </c>
      <c r="Q17" s="206">
        <f>'3. 5기 수입지출장부'!E201</f>
        <v>135000</v>
      </c>
      <c r="R17" s="207"/>
      <c r="S17" s="196"/>
      <c r="T17" s="190"/>
      <c r="U17" s="3"/>
      <c r="V17" s="3"/>
      <c r="W17" s="3"/>
      <c r="X17" s="192"/>
      <c r="Y17" s="17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88"/>
      <c r="AN17" s="180"/>
      <c r="AO17" s="185"/>
      <c r="AP17" s="179"/>
    </row>
    <row r="18" spans="1:42" ht="24.75" customHeight="1">
      <c r="A18" s="3"/>
      <c r="B18" s="218">
        <v>7</v>
      </c>
      <c r="C18" s="208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183">
        <f>'2. 5기_예산목간'!D31</f>
        <v>200000</v>
      </c>
      <c r="R18" s="184"/>
      <c r="S18" s="200">
        <f>Q19/Q18</f>
        <v>0</v>
      </c>
      <c r="T18" s="195" t="s">
        <v>291</v>
      </c>
      <c r="U18" s="3"/>
      <c r="V18" s="3"/>
      <c r="W18" s="3"/>
      <c r="X18" s="180"/>
      <c r="Y18" s="180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1"/>
      <c r="AN18" s="180"/>
      <c r="AO18" s="180"/>
      <c r="AP18" s="180"/>
    </row>
    <row r="19" spans="1:42" ht="24.75" customHeight="1">
      <c r="A19" s="3"/>
      <c r="B19" s="205"/>
      <c r="C19" s="209"/>
      <c r="D19" s="14" t="s">
        <v>280</v>
      </c>
      <c r="E19" s="14" t="str">
        <f>IF(COUNTIFS('3. 5기 수입지출장부'!$C$5:$C$2007,$C18,'3. 5기 수입지출장부'!$A$5:$A$2007,"&gt;="&amp;DATE(2026,E$5,1),'3. 5기 수입지출장부'!$A$5:$A$2007,"&lt;"&amp;DATE(2026,E$5+1,1),'3. 5기 수입지출장부'!$E$5:$E$2007,"&gt;0")&gt;0,"■","")</f>
        <v/>
      </c>
      <c r="F19" s="5" t="str">
        <f>IF(COUNTIFS('3. 5기 수입지출장부'!$C$5:$C$2007,$C18,'3. 5기 수입지출장부'!$A$5:$A$2007,"&gt;="&amp;DATE(2026,F$5,1),'3. 5기 수입지출장부'!$A$5:$A$2007,"&lt;"&amp;DATE(2026,F$5+1,1),'3. 5기 수입지출장부'!$E$5:$E$2007,"&gt;0")&gt;0,"■","")</f>
        <v/>
      </c>
      <c r="G19" s="14" t="str">
        <f>IF(COUNTIFS('3. 5기 수입지출장부'!$C$5:$C$2007,$C18,'3. 5기 수입지출장부'!$A$5:$A$2007,"&gt;="&amp;DATE(2026,G$5,1),'3. 5기 수입지출장부'!$A$5:$A$2007,"&lt;"&amp;DATE(2026,G$5+1,1),'3. 5기 수입지출장부'!$E$5:$E$2007,"&gt;0")&gt;0,"■","")</f>
        <v/>
      </c>
      <c r="H19" s="9" t="str">
        <f>IF(COUNTIFS('3. 5기 수입지출장부'!$C$5:$C$2007,$C18,'3. 5기 수입지출장부'!$A$5:$A$2007,"&gt;="&amp;DATE(2026,H$5,1),'3. 5기 수입지출장부'!$A$5:$A$2007,"&lt;"&amp;DATE(2026,H$5+1,1),'3. 5기 수입지출장부'!$E$5:$E$2007,"&gt;0")&gt;0,"■","")</f>
        <v/>
      </c>
      <c r="I19" s="9" t="str">
        <f>IF(COUNTIFS('3. 5기 수입지출장부'!$C$5:$C$2007,$C18,'3. 5기 수입지출장부'!$A$5:$A$2007,"&gt;="&amp;DATE(2026,I$5,1),'3. 5기 수입지출장부'!$A$5:$A$2007,"&lt;"&amp;DATE(2026,I$5+1,1),'3. 5기 수입지출장부'!$E$5:$E$2007,"&gt;0")&gt;0,"■","")</f>
        <v/>
      </c>
      <c r="J19" s="14" t="str">
        <f>IF(COUNTIFS('3. 5기 수입지출장부'!$C$5:$C$2007,$C18,'3. 5기 수입지출장부'!$A$5:$A$2007,"&gt;="&amp;DATE(2026,J$5,1),'3. 5기 수입지출장부'!$A$5:$A$2007,"&lt;"&amp;DATE(2026,J$5+1,1),'3. 5기 수입지출장부'!$E$5:$E$2007,"&gt;0")&gt;0,"■","")</f>
        <v/>
      </c>
      <c r="K19" s="14" t="str">
        <f>IF(COUNTIFS('3. 5기 수입지출장부'!$C$5:$C$2007,$C18,'3. 5기 수입지출장부'!$A$5:$A$2007,"&gt;="&amp;DATE(2026,K$5,1),'3. 5기 수입지출장부'!$A$5:$A$2007,"&lt;"&amp;DATE(2026,K$5+1,1),'3. 5기 수입지출장부'!$E$5:$E$2007,"&gt;0")&gt;0,"■","")</f>
        <v/>
      </c>
      <c r="L19" s="14" t="str">
        <f>IF(COUNTIFS('3. 5기 수입지출장부'!$C$5:$C$2007,$C18,'3. 5기 수입지출장부'!$A$5:$A$2007,"&gt;="&amp;DATE(2026,L$5,1),'3. 5기 수입지출장부'!$A$5:$A$2007,"&lt;"&amp;DATE(2026,L$5+1,1),'3. 5기 수입지출장부'!$E$5:$E$2007,"&gt;0")&gt;0,"■","")</f>
        <v/>
      </c>
      <c r="M19" s="14" t="str">
        <f>IF(COUNTIFS('3. 5기 수입지출장부'!$C$5:$C$2007,$C18,'3. 5기 수입지출장부'!$A$5:$A$2007,"&gt;="&amp;DATE(2026,M$5,1),'3. 5기 수입지출장부'!$A$5:$A$2007,"&lt;"&amp;DATE(2026,M$5+1,1),'3. 5기 수입지출장부'!$E$5:$E$2007,"&gt;0")&gt;0,"■","")</f>
        <v/>
      </c>
      <c r="N19" s="14" t="str">
        <f>IF(COUNTIFS('3. 5기 수입지출장부'!$C$5:$C$2007,$C18,'3. 5기 수입지출장부'!$A$5:$A$2007,"&gt;="&amp;DATE(2026,N$5,1),'3. 5기 수입지출장부'!$A$5:$A$2007,"&lt;"&amp;DATE(2026,N$5+1,1),'3. 5기 수입지출장부'!$E$5:$E$2007,"&gt;0")&gt;0,"■","")</f>
        <v/>
      </c>
      <c r="O19" s="14" t="str">
        <f>IF(COUNTIFS('3. 5기 수입지출장부'!$C$5:$C$2007,$C18,'3. 5기 수입지출장부'!$A$5:$A$2007,"&gt;="&amp;DATE(2026,O$5,1),'3. 5기 수입지출장부'!$A$5:$A$2007,"&lt;"&amp;DATE(2026,O$5+1,1),'3. 5기 수입지출장부'!$E$5:$E$2007,"&gt;0")&gt;0,"■","")</f>
        <v/>
      </c>
      <c r="P19" s="14" t="str">
        <f>IF(COUNTIFS('3. 5기 수입지출장부'!$C$5:$C$2007,$C18,'3. 5기 수입지출장부'!$A$5:$A$2007,"&gt;="&amp;DATE(2026,P$5,1),'3. 5기 수입지출장부'!$A$5:$A$2007,"&lt;"&amp;DATE(2026,P$5+1,1),'3. 5기 수입지출장부'!$E$5:$E$2007,"&gt;0")&gt;0,"■","")</f>
        <v/>
      </c>
      <c r="Q19" s="216">
        <f>'3. 5기 수입지출장부'!E202</f>
        <v>0</v>
      </c>
      <c r="R19" s="217"/>
      <c r="S19" s="196"/>
      <c r="T19" s="196"/>
      <c r="U19" s="3"/>
      <c r="V19" s="3"/>
      <c r="W19" s="3"/>
      <c r="X19" s="192"/>
      <c r="Y19" s="17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88"/>
      <c r="AN19" s="180"/>
      <c r="AO19" s="185"/>
      <c r="AP19" s="179"/>
    </row>
    <row r="20" spans="1:42" ht="24.75" customHeight="1">
      <c r="A20" s="3"/>
      <c r="B20" s="218">
        <v>8</v>
      </c>
      <c r="C20" s="208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183">
        <f>'2. 5기_예산목간'!D32</f>
        <v>200000</v>
      </c>
      <c r="R20" s="184"/>
      <c r="S20" s="238">
        <f>Q21/Q20</f>
        <v>0.67500000000000004</v>
      </c>
      <c r="T20" s="195" t="s">
        <v>292</v>
      </c>
      <c r="U20" s="3"/>
      <c r="V20" s="3"/>
      <c r="W20" s="3"/>
      <c r="X20" s="180"/>
      <c r="Y20" s="180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1"/>
      <c r="AN20" s="180"/>
      <c r="AO20" s="180"/>
      <c r="AP20" s="180"/>
    </row>
    <row r="21" spans="1:42" ht="24.75" customHeight="1">
      <c r="A21" s="3"/>
      <c r="B21" s="205"/>
      <c r="C21" s="209"/>
      <c r="D21" s="14" t="s">
        <v>280</v>
      </c>
      <c r="E21" s="14" t="str">
        <f>IF(COUNTIFS('3. 5기 수입지출장부'!$C$5:$C$2007,$C20,'3. 5기 수입지출장부'!$A$5:$A$2007,"&gt;="&amp;DATE(2026,E$5,1),'3. 5기 수입지출장부'!$A$5:$A$2007,"&lt;"&amp;DATE(2026,E$5+1,1),'3. 5기 수입지출장부'!$E$5:$E$2007,"&gt;0")&gt;0,"■","")</f>
        <v/>
      </c>
      <c r="F21" s="14" t="str">
        <f>IF(COUNTIFS('3. 5기 수입지출장부'!$C$5:$C$2007,$C20,'3. 5기 수입지출장부'!$A$5:$A$2007,"&gt;="&amp;DATE(2026,F$5,1),'3. 5기 수입지출장부'!$A$5:$A$2007,"&lt;"&amp;DATE(2026,F$5+1,1),'3. 5기 수입지출장부'!$E$5:$E$2007,"&gt;0")&gt;0,"■","")</f>
        <v/>
      </c>
      <c r="G21" s="14" t="str">
        <f>IF(COUNTIFS('3. 5기 수입지출장부'!$C$5:$C$2007,$C20,'3. 5기 수입지출장부'!$A$5:$A$2007,"&gt;="&amp;DATE(2026,G$5,1),'3. 5기 수입지출장부'!$A$5:$A$2007,"&lt;"&amp;DATE(2026,G$5+1,1),'3. 5기 수입지출장부'!$E$5:$E$2007,"&gt;0")&gt;0,"■","")</f>
        <v/>
      </c>
      <c r="H21" s="9" t="str">
        <f>IF(COUNTIFS('3. 5기 수입지출장부'!$C$5:$C$2007,$C20,'3. 5기 수입지출장부'!$A$5:$A$2007,"&gt;="&amp;DATE(2026,H$5,1),'3. 5기 수입지출장부'!$A$5:$A$2007,"&lt;"&amp;DATE(2026,H$5+1,1),'3. 5기 수입지출장부'!$E$5:$E$2007,"&gt;0")&gt;0,"■","")</f>
        <v/>
      </c>
      <c r="I21" s="14" t="str">
        <f>IF(COUNTIFS('3. 5기 수입지출장부'!$C$5:$C$2007,$C20,'3. 5기 수입지출장부'!$A$5:$A$2007,"&gt;="&amp;DATE(2026,I$5,1),'3. 5기 수입지출장부'!$A$5:$A$2007,"&lt;"&amp;DATE(2026,I$5+1,1),'3. 5기 수입지출장부'!$E$5:$E$2007,"&gt;0")&gt;0,"■","")</f>
        <v/>
      </c>
      <c r="J21" s="9" t="str">
        <f>IF(COUNTIFS('3. 5기 수입지출장부'!$C$5:$C$2007,$C20,'3. 5기 수입지출장부'!$A$5:$A$2007,"&gt;="&amp;DATE(2026,J$5,1),'3. 5기 수입지출장부'!$A$5:$A$2007,"&lt;"&amp;DATE(2026,J$5+1,1),'3. 5기 수입지출장부'!$E$5:$E$2007,"&gt;0")&gt;0,"■","")</f>
        <v/>
      </c>
      <c r="K21" s="14" t="str">
        <f>IF(COUNTIFS('3. 5기 수입지출장부'!$C$5:$C$2007,$C20,'3. 5기 수입지출장부'!$A$5:$A$2007,"&gt;="&amp;DATE(2026,K$5,1),'3. 5기 수입지출장부'!$A$5:$A$2007,"&lt;"&amp;DATE(2026,K$5+1,1),'3. 5기 수입지출장부'!$E$5:$E$2007,"&gt;0")&gt;0,"■","")</f>
        <v/>
      </c>
      <c r="L21" s="14" t="str">
        <f>IF(COUNTIFS('3. 5기 수입지출장부'!$C$5:$C$2007,$C20,'3. 5기 수입지출장부'!$A$5:$A$2007,"&gt;="&amp;DATE(2026,L$5,1),'3. 5기 수입지출장부'!$A$5:$A$2007,"&lt;"&amp;DATE(2026,L$5+1,1),'3. 5기 수입지출장부'!$E$5:$E$2007,"&gt;0")&gt;0,"■","")</f>
        <v>■</v>
      </c>
      <c r="M21" s="14" t="str">
        <f>IF(COUNTIFS('3. 5기 수입지출장부'!$C$5:$C$2007,$C20,'3. 5기 수입지출장부'!$A$5:$A$2007,"&gt;="&amp;DATE(2026,M$5,1),'3. 5기 수입지출장부'!$A$5:$A$2007,"&lt;"&amp;DATE(2026,M$5+1,1),'3. 5기 수입지출장부'!$E$5:$E$2007,"&gt;0")&gt;0,"■","")</f>
        <v/>
      </c>
      <c r="N21" s="14" t="str">
        <f>IF(COUNTIFS('3. 5기 수입지출장부'!$C$5:$C$2007,$C20,'3. 5기 수입지출장부'!$A$5:$A$2007,"&gt;="&amp;DATE(2026,N$5,1),'3. 5기 수입지출장부'!$A$5:$A$2007,"&lt;"&amp;DATE(2026,N$5+1,1),'3. 5기 수입지출장부'!$E$5:$E$2007,"&gt;0")&gt;0,"■","")</f>
        <v/>
      </c>
      <c r="O21" s="21" t="str">
        <f>IF(COUNTIFS('3. 5기 수입지출장부'!$C$5:$C$2007,$C20,'3. 5기 수입지출장부'!$A$5:$A$2007,"&gt;="&amp;DATE(2026,O$5,1),'3. 5기 수입지출장부'!$A$5:$A$2007,"&lt;"&amp;DATE(2026,O$5+1,1),'3. 5기 수입지출장부'!$E$5:$E$2007,"&gt;0")&gt;0,"■","")</f>
        <v/>
      </c>
      <c r="P21" s="14" t="str">
        <f>IF(COUNTIFS('3. 5기 수입지출장부'!$C$5:$C$2007,$C20,'3. 5기 수입지출장부'!$A$5:$A$2007,"&gt;="&amp;DATE(2026,P$5,1),'3. 5기 수입지출장부'!$A$5:$A$2007,"&lt;"&amp;DATE(2026,P$5+1,1),'3. 5기 수입지출장부'!$E$5:$E$2007,"&gt;0")&gt;0,"■","")</f>
        <v/>
      </c>
      <c r="Q21" s="206">
        <f>'3. 5기 수입지출장부'!E203</f>
        <v>135000</v>
      </c>
      <c r="R21" s="207"/>
      <c r="S21" s="196"/>
      <c r="T21" s="196"/>
      <c r="U21" s="3"/>
      <c r="V21" s="3"/>
      <c r="W21" s="3"/>
      <c r="X21" s="192"/>
      <c r="Y21" s="17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88"/>
      <c r="AN21" s="180"/>
      <c r="AO21" s="185"/>
      <c r="AP21" s="179"/>
    </row>
    <row r="22" spans="1:42" ht="24.75" customHeight="1">
      <c r="A22" s="3"/>
      <c r="B22" s="204">
        <v>9</v>
      </c>
      <c r="C22" s="208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183">
        <f>'2. 5기_예산목간'!D38</f>
        <v>3600000</v>
      </c>
      <c r="R22" s="184"/>
      <c r="S22" s="200">
        <f>Q23/Q22</f>
        <v>0.93998888888888887</v>
      </c>
      <c r="T22" s="195" t="s">
        <v>283</v>
      </c>
      <c r="U22" s="3"/>
      <c r="V22" s="3"/>
      <c r="W22" s="3"/>
      <c r="X22" s="180"/>
      <c r="Y22" s="180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1"/>
      <c r="AN22" s="180"/>
      <c r="AO22" s="180"/>
      <c r="AP22" s="180"/>
    </row>
    <row r="23" spans="1:42" ht="24.75" customHeight="1">
      <c r="A23" s="3"/>
      <c r="B23" s="205"/>
      <c r="C23" s="209"/>
      <c r="D23" s="14" t="s">
        <v>280</v>
      </c>
      <c r="E23" s="9" t="str">
        <f>IF(COUNTIFS('3. 5기 수입지출장부'!$C$5:$C$2007,$C22,'3. 5기 수입지출장부'!$A$5:$A$2007,"&gt;="&amp;DATE(2026,E$5,1),'3. 5기 수입지출장부'!$A$5:$A$2007,"&lt;"&amp;DATE(2026,E$5+1,1),'3. 5기 수입지출장부'!$E$5:$E$2007,"&gt;0")&gt;0,"■","")</f>
        <v/>
      </c>
      <c r="F23" s="9" t="str">
        <f>IF(COUNTIFS('3. 5기 수입지출장부'!$C$5:$C$2007,$C22,'3. 5기 수입지출장부'!$A$5:$A$2007,"&gt;="&amp;DATE(2026,F$5,1),'3. 5기 수입지출장부'!$A$5:$A$2007,"&lt;"&amp;DATE(2026,F$5+1,1),'3. 5기 수입지출장부'!$E$5:$E$2007,"&gt;0")&gt;0,"■","")</f>
        <v/>
      </c>
      <c r="G23" s="9" t="str">
        <f>IF(COUNTIFS('3. 5기 수입지출장부'!$C$5:$C$2007,$C22,'3. 5기 수입지출장부'!$A$5:$A$2007,"&gt;="&amp;DATE(2026,G$5,1),'3. 5기 수입지출장부'!$A$5:$A$2007,"&lt;"&amp;DATE(2026,G$5+1,1),'3. 5기 수입지출장부'!$E$5:$E$2007,"&gt;0")&gt;0,"■","")</f>
        <v>■</v>
      </c>
      <c r="H23" s="9" t="str">
        <f>IF(COUNTIFS('3. 5기 수입지출장부'!$C$5:$C$2007,$C22,'3. 5기 수입지출장부'!$A$5:$A$2007,"&gt;="&amp;DATE(2026,H$5,1),'3. 5기 수입지출장부'!$A$5:$A$2007,"&lt;"&amp;DATE(2026,H$5+1,1),'3. 5기 수입지출장부'!$E$5:$E$2007,"&gt;0")&gt;0,"■","")</f>
        <v>■</v>
      </c>
      <c r="I23" s="9" t="str">
        <f>IF(COUNTIFS('3. 5기 수입지출장부'!$C$5:$C$2007,$C22,'3. 5기 수입지출장부'!$A$5:$A$2007,"&gt;="&amp;DATE(2026,I$5,1),'3. 5기 수입지출장부'!$A$5:$A$2007,"&lt;"&amp;DATE(2026,I$5+1,1),'3. 5기 수입지출장부'!$E$5:$E$2007,"&gt;0")&gt;0,"■","")</f>
        <v>■</v>
      </c>
      <c r="J23" s="9" t="str">
        <f>IF(COUNTIFS('3. 5기 수입지출장부'!$C$5:$C$2007,$C22,'3. 5기 수입지출장부'!$A$5:$A$2007,"&gt;="&amp;DATE(2026,J$5,1),'3. 5기 수입지출장부'!$A$5:$A$2007,"&lt;"&amp;DATE(2026,J$5+1,1),'3. 5기 수입지출장부'!$E$5:$E$2007,"&gt;0")&gt;0,"■","")</f>
        <v>■</v>
      </c>
      <c r="K23" s="9" t="str">
        <f>IF(COUNTIFS('3. 5기 수입지출장부'!$C$5:$C$2007,$C22,'3. 5기 수입지출장부'!$A$5:$A$2007,"&gt;="&amp;DATE(2026,K$5,1),'3. 5기 수입지출장부'!$A$5:$A$2007,"&lt;"&amp;DATE(2026,K$5+1,1),'3. 5기 수입지출장부'!$E$5:$E$2007,"&gt;0")&gt;0,"■","")</f>
        <v>■</v>
      </c>
      <c r="L23" s="9" t="str">
        <f>IF(COUNTIFS('3. 5기 수입지출장부'!$C$5:$C$2007,$C22,'3. 5기 수입지출장부'!$A$5:$A$2007,"&gt;="&amp;DATE(2026,L$5,1),'3. 5기 수입지출장부'!$A$5:$A$2007,"&lt;"&amp;DATE(2026,L$5+1,1),'3. 5기 수입지출장부'!$E$5:$E$2007,"&gt;0")&gt;0,"■","")</f>
        <v>■</v>
      </c>
      <c r="M23" s="9" t="str">
        <f>IF(COUNTIFS('3. 5기 수입지출장부'!$C$5:$C$2007,$C22,'3. 5기 수입지출장부'!$A$5:$A$2007,"&gt;="&amp;DATE(2026,M$5,1),'3. 5기 수입지출장부'!$A$5:$A$2007,"&lt;"&amp;DATE(2026,M$5+1,1),'3. 5기 수입지출장부'!$E$5:$E$2007,"&gt;0")&gt;0,"■","")</f>
        <v>■</v>
      </c>
      <c r="N23" s="9" t="str">
        <f>IF(COUNTIFS('3. 5기 수입지출장부'!$C$5:$C$2007,$C22,'3. 5기 수입지출장부'!$A$5:$A$2007,"&gt;="&amp;DATE(2026,N$5,1),'3. 5기 수입지출장부'!$A$5:$A$2007,"&lt;"&amp;DATE(2026,N$5+1,1),'3. 5기 수입지출장부'!$E$5:$E$2007,"&gt;0")&gt;0,"■","")</f>
        <v>■</v>
      </c>
      <c r="O23" s="9" t="str">
        <f>IF(COUNTIFS('3. 5기 수입지출장부'!$C$5:$C$2007,$C22,'3. 5기 수입지출장부'!$A$5:$A$2007,"&gt;="&amp;DATE(2026,O$5,1),'3. 5기 수입지출장부'!$A$5:$A$2007,"&lt;"&amp;DATE(2026,O$5+1,1),'3. 5기 수입지출장부'!$E$5:$E$2007,"&gt;0")&gt;0,"■","")</f>
        <v/>
      </c>
      <c r="P23" s="9" t="str">
        <f>IF(COUNTIFS('3. 5기 수입지출장부'!$C$5:$C$2007,$C22,'3. 5기 수입지출장부'!$A$5:$A$2007,"&gt;="&amp;DATE(2026,P$5,1),'3. 5기 수입지출장부'!$A$5:$A$2007,"&lt;"&amp;DATE(2026,P$5+1,1),'3. 5기 수입지출장부'!$E$5:$E$2007,"&gt;0")&gt;0,"■","")</f>
        <v/>
      </c>
      <c r="Q23" s="206">
        <f>'3. 5기 수입지출장부'!E205</f>
        <v>3383960</v>
      </c>
      <c r="R23" s="207"/>
      <c r="S23" s="196"/>
      <c r="T23" s="196"/>
      <c r="U23" s="3"/>
      <c r="V23" s="3"/>
      <c r="W23" s="3"/>
      <c r="X23" s="192"/>
      <c r="Y23" s="17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88"/>
      <c r="AN23" s="180"/>
      <c r="AO23" s="185"/>
      <c r="AP23" s="179"/>
    </row>
    <row r="24" spans="1:42" ht="24.75" customHeight="1">
      <c r="A24" s="3"/>
      <c r="B24" s="218">
        <v>10</v>
      </c>
      <c r="C24" s="208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183">
        <f>'2. 5기_예산목간'!D39</f>
        <v>8000000</v>
      </c>
      <c r="R24" s="184"/>
      <c r="S24" s="200">
        <f>Q25/Q24</f>
        <v>0.41846250000000002</v>
      </c>
      <c r="T24" s="193" t="s">
        <v>289</v>
      </c>
      <c r="U24" s="3"/>
      <c r="V24" s="3"/>
      <c r="W24" s="3"/>
      <c r="X24" s="180"/>
      <c r="Y24" s="180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1"/>
      <c r="AN24" s="180"/>
      <c r="AO24" s="180"/>
      <c r="AP24" s="180"/>
    </row>
    <row r="25" spans="1:42" ht="24.75" customHeight="1">
      <c r="A25" s="3"/>
      <c r="B25" s="205"/>
      <c r="C25" s="209"/>
      <c r="D25" s="14" t="s">
        <v>280</v>
      </c>
      <c r="E25" s="14" t="str">
        <f>IF(COUNTIFS('3. 5기 수입지출장부'!$C$5:$C$2007,$C24,'3. 5기 수입지출장부'!$A$5:$A$2007,"&gt;="&amp;DATE(2026,E$5,1),'3. 5기 수입지출장부'!$A$5:$A$2007,"&lt;"&amp;DATE(2026,E$5+1,1),'3. 5기 수입지출장부'!$E$5:$E$2007,"&gt;0")&gt;0,"■","")</f>
        <v/>
      </c>
      <c r="F25" s="14" t="str">
        <f>IF(COUNTIFS('3. 5기 수입지출장부'!$C$5:$C$2007,$C24,'3. 5기 수입지출장부'!$A$5:$A$2007,"&gt;="&amp;DATE(2026,F$5,1),'3. 5기 수입지출장부'!$A$5:$A$2007,"&lt;"&amp;DATE(2026,F$5+1,1),'3. 5기 수입지출장부'!$E$5:$E$2007,"&gt;0")&gt;0,"■","")</f>
        <v/>
      </c>
      <c r="G25" s="9" t="str">
        <f>IF(COUNTIFS('3. 5기 수입지출장부'!$C$5:$C$2007,$C24,'3. 5기 수입지출장부'!$A$5:$A$2007,"&gt;="&amp;DATE(2026,G$5,1),'3. 5기 수입지출장부'!$A$5:$A$2007,"&lt;"&amp;DATE(2026,G$5+1,1),'3. 5기 수입지출장부'!$E$5:$E$2007,"&gt;0")&gt;0,"■","")</f>
        <v>■</v>
      </c>
      <c r="H25" s="9" t="str">
        <f>IF(COUNTIFS('3. 5기 수입지출장부'!$C$5:$C$2007,$C24,'3. 5기 수입지출장부'!$A$5:$A$2007,"&gt;="&amp;DATE(2026,H$5,1),'3. 5기 수입지출장부'!$A$5:$A$2007,"&lt;"&amp;DATE(2026,H$5+1,1),'3. 5기 수입지출장부'!$E$5:$E$2007,"&gt;0")&gt;0,"■","")</f>
        <v>■</v>
      </c>
      <c r="I25" s="9" t="str">
        <f>IF(COUNTIFS('3. 5기 수입지출장부'!$C$5:$C$2007,$C24,'3. 5기 수입지출장부'!$A$5:$A$2007,"&gt;="&amp;DATE(2026,I$5,1),'3. 5기 수입지출장부'!$A$5:$A$2007,"&lt;"&amp;DATE(2026,I$5+1,1),'3. 5기 수입지출장부'!$E$5:$E$2007,"&gt;0")&gt;0,"■","")</f>
        <v>■</v>
      </c>
      <c r="J25" s="9" t="str">
        <f>IF(COUNTIFS('3. 5기 수입지출장부'!$C$5:$C$2007,$C24,'3. 5기 수입지출장부'!$A$5:$A$2007,"&gt;="&amp;DATE(2026,J$5,1),'3. 5기 수입지출장부'!$A$5:$A$2007,"&lt;"&amp;DATE(2026,J$5+1,1),'3. 5기 수입지출장부'!$E$5:$E$2007,"&gt;0")&gt;0,"■","")</f>
        <v/>
      </c>
      <c r="K25" s="9" t="str">
        <f>IF(COUNTIFS('3. 5기 수입지출장부'!$C$5:$C$2007,$C24,'3. 5기 수입지출장부'!$A$5:$A$2007,"&gt;="&amp;DATE(2026,K$5,1),'3. 5기 수입지출장부'!$A$5:$A$2007,"&lt;"&amp;DATE(2026,K$5+1,1),'3. 5기 수입지출장부'!$E$5:$E$2007,"&gt;0")&gt;0,"■","")</f>
        <v>■</v>
      </c>
      <c r="L25" s="9" t="str">
        <f>IF(COUNTIFS('3. 5기 수입지출장부'!$C$5:$C$2007,$C24,'3. 5기 수입지출장부'!$A$5:$A$2007,"&gt;="&amp;DATE(2026,L$5,1),'3. 5기 수입지출장부'!$A$5:$A$2007,"&lt;"&amp;DATE(2026,L$5+1,1),'3. 5기 수입지출장부'!$E$5:$E$2007,"&gt;0")&gt;0,"■","")</f>
        <v>■</v>
      </c>
      <c r="M25" s="9" t="str">
        <f>IF(COUNTIFS('3. 5기 수입지출장부'!$C$5:$C$2007,$C24,'3. 5기 수입지출장부'!$A$5:$A$2007,"&gt;="&amp;DATE(2026,M$5,1),'3. 5기 수입지출장부'!$A$5:$A$2007,"&lt;"&amp;DATE(2026,M$5+1,1),'3. 5기 수입지출장부'!$E$5:$E$2007,"&gt;0")&gt;0,"■","")</f>
        <v>■</v>
      </c>
      <c r="N25" s="9" t="str">
        <f>IF(COUNTIFS('3. 5기 수입지출장부'!$C$5:$C$2007,$C24,'3. 5기 수입지출장부'!$A$5:$A$2007,"&gt;="&amp;DATE(2026,N$5,1),'3. 5기 수입지출장부'!$A$5:$A$2007,"&lt;"&amp;DATE(2026,N$5+1,1),'3. 5기 수입지출장부'!$E$5:$E$2007,"&gt;0")&gt;0,"■","")</f>
        <v>■</v>
      </c>
      <c r="O25" s="9" t="str">
        <f>IF(COUNTIFS('3. 5기 수입지출장부'!$C$5:$C$2007,$C24,'3. 5기 수입지출장부'!$A$5:$A$2007,"&gt;="&amp;DATE(2026,O$5,1),'3. 5기 수입지출장부'!$A$5:$A$2007,"&lt;"&amp;DATE(2026,O$5+1,1),'3. 5기 수입지출장부'!$E$5:$E$2007,"&gt;0")&gt;0,"■","")</f>
        <v/>
      </c>
      <c r="P25" s="9" t="str">
        <f>IF(COUNTIFS('3. 5기 수입지출장부'!$C$5:$C$2007,$C24,'3. 5기 수입지출장부'!$A$5:$A$2007,"&gt;="&amp;DATE(2026,P$5,1),'3. 5기 수입지출장부'!$A$5:$A$2007,"&lt;"&amp;DATE(2026,P$5+1,1),'3. 5기 수입지출장부'!$E$5:$E$2007,"&gt;0")&gt;0,"■","")</f>
        <v/>
      </c>
      <c r="Q25" s="206">
        <f>'3. 5기 수입지출장부'!E206</f>
        <v>3347700</v>
      </c>
      <c r="R25" s="207"/>
      <c r="S25" s="196"/>
      <c r="T25" s="194"/>
      <c r="U25" s="3"/>
      <c r="V25" s="3"/>
      <c r="W25" s="13"/>
      <c r="X25" s="192"/>
      <c r="Y25" s="17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88"/>
      <c r="AN25" s="180"/>
      <c r="AO25" s="185"/>
      <c r="AP25" s="179"/>
    </row>
    <row r="26" spans="1:42" ht="24.75" customHeight="1">
      <c r="A26" s="3"/>
      <c r="B26" s="218">
        <f>B24+1</f>
        <v>11</v>
      </c>
      <c r="C26" s="208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83">
        <f>'2. 5기_예산목간'!D40</f>
        <v>300000</v>
      </c>
      <c r="R26" s="184"/>
      <c r="S26" s="200">
        <f>Q27/Q26</f>
        <v>0</v>
      </c>
      <c r="T26" s="195" t="s">
        <v>283</v>
      </c>
      <c r="U26" s="3"/>
      <c r="V26" s="3"/>
      <c r="W26" s="13"/>
      <c r="X26" s="180"/>
      <c r="Y26" s="180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1"/>
      <c r="AN26" s="180"/>
      <c r="AO26" s="180"/>
      <c r="AP26" s="180"/>
    </row>
    <row r="27" spans="1:42" ht="24.75" customHeight="1">
      <c r="A27" s="3"/>
      <c r="B27" s="205"/>
      <c r="C27" s="209"/>
      <c r="D27" s="14" t="s">
        <v>280</v>
      </c>
      <c r="E27" s="14" t="str">
        <f>IF(COUNTIFS('3. 5기 수입지출장부'!$C$5:$C$2007,$C26,'3. 5기 수입지출장부'!$A$5:$A$2007,"&gt;="&amp;DATE(2026,E$5,1),'3. 5기 수입지출장부'!$A$5:$A$2007,"&lt;"&amp;DATE(2026,E$5+1,1),'3. 5기 수입지출장부'!$E$5:$E$2007,"&gt;0")&gt;0,"■","")</f>
        <v/>
      </c>
      <c r="F27" s="14" t="str">
        <f>IF(COUNTIFS('3. 5기 수입지출장부'!$C$5:$C$2007,$C26,'3. 5기 수입지출장부'!$A$5:$A$2007,"&gt;="&amp;DATE(2026,F$5,1),'3. 5기 수입지출장부'!$A$5:$A$2007,"&lt;"&amp;DATE(2026,F$5+1,1),'3. 5기 수입지출장부'!$E$5:$E$2007,"&gt;0")&gt;0,"■","")</f>
        <v/>
      </c>
      <c r="G27" s="14" t="str">
        <f>IF(COUNTIFS('3. 5기 수입지출장부'!$C$5:$C$2007,$C26,'3. 5기 수입지출장부'!$A$5:$A$2007,"&gt;="&amp;DATE(2026,G$5,1),'3. 5기 수입지출장부'!$A$5:$A$2007,"&lt;"&amp;DATE(2026,G$5+1,1),'3. 5기 수입지출장부'!$E$5:$E$2007,"&gt;0")&gt;0,"■","")</f>
        <v/>
      </c>
      <c r="H27" s="14" t="str">
        <f>IF(COUNTIFS('3. 5기 수입지출장부'!$C$5:$C$2007,$C26,'3. 5기 수입지출장부'!$A$5:$A$2007,"&gt;="&amp;DATE(2026,H$5,1),'3. 5기 수입지출장부'!$A$5:$A$2007,"&lt;"&amp;DATE(2026,H$5+1,1),'3. 5기 수입지출장부'!$E$5:$E$2007,"&gt;0")&gt;0,"■","")</f>
        <v/>
      </c>
      <c r="I27" s="14" t="str">
        <f>IF(COUNTIFS('3. 5기 수입지출장부'!$C$5:$C$2007,$C26,'3. 5기 수입지출장부'!$A$5:$A$2007,"&gt;="&amp;DATE(2026,I$5,1),'3. 5기 수입지출장부'!$A$5:$A$2007,"&lt;"&amp;DATE(2026,I$5+1,1),'3. 5기 수입지출장부'!$E$5:$E$2007,"&gt;0")&gt;0,"■","")</f>
        <v/>
      </c>
      <c r="J27" s="14" t="str">
        <f>IF(COUNTIFS('3. 5기 수입지출장부'!$C$5:$C$2007,$C26,'3. 5기 수입지출장부'!$A$5:$A$2007,"&gt;="&amp;DATE(2026,J$5,1),'3. 5기 수입지출장부'!$A$5:$A$2007,"&lt;"&amp;DATE(2026,J$5+1,1),'3. 5기 수입지출장부'!$E$5:$E$2007,"&gt;0")&gt;0,"■","")</f>
        <v/>
      </c>
      <c r="K27" s="14" t="str">
        <f>IF(COUNTIFS('3. 5기 수입지출장부'!$C$5:$C$2007,$C26,'3. 5기 수입지출장부'!$A$5:$A$2007,"&gt;="&amp;DATE(2026,K$5,1),'3. 5기 수입지출장부'!$A$5:$A$2007,"&lt;"&amp;DATE(2026,K$5+1,1),'3. 5기 수입지출장부'!$E$5:$E$2007,"&gt;0")&gt;0,"■","")</f>
        <v/>
      </c>
      <c r="L27" s="14" t="str">
        <f>IF(COUNTIFS('3. 5기 수입지출장부'!$C$5:$C$2007,$C26,'3. 5기 수입지출장부'!$A$5:$A$2007,"&gt;="&amp;DATE(2026,L$5,1),'3. 5기 수입지출장부'!$A$5:$A$2007,"&lt;"&amp;DATE(2026,L$5+1,1),'3. 5기 수입지출장부'!$E$5:$E$2007,"&gt;0")&gt;0,"■","")</f>
        <v/>
      </c>
      <c r="M27" s="14" t="str">
        <f>IF(COUNTIFS('3. 5기 수입지출장부'!$C$5:$C$2007,$C26,'3. 5기 수입지출장부'!$A$5:$A$2007,"&gt;="&amp;DATE(2026,M$5,1),'3. 5기 수입지출장부'!$A$5:$A$2007,"&lt;"&amp;DATE(2026,M$5+1,1),'3. 5기 수입지출장부'!$E$5:$E$2007,"&gt;0")&gt;0,"■","")</f>
        <v/>
      </c>
      <c r="N27" s="14" t="str">
        <f>IF(COUNTIFS('3. 5기 수입지출장부'!$C$5:$C$2007,$C26,'3. 5기 수입지출장부'!$A$5:$A$2007,"&gt;="&amp;DATE(2026,N$5,1),'3. 5기 수입지출장부'!$A$5:$A$2007,"&lt;"&amp;DATE(2026,N$5+1,1),'3. 5기 수입지출장부'!$E$5:$E$2007,"&gt;0")&gt;0,"■","")</f>
        <v/>
      </c>
      <c r="O27" s="14" t="str">
        <f>IF(COUNTIFS('3. 5기 수입지출장부'!$C$5:$C$2007,$C26,'3. 5기 수입지출장부'!$A$5:$A$2007,"&gt;="&amp;DATE(2026,O$5,1),'3. 5기 수입지출장부'!$A$5:$A$2007,"&lt;"&amp;DATE(2026,O$5+1,1),'3. 5기 수입지출장부'!$E$5:$E$2007,"&gt;0")&gt;0,"■","")</f>
        <v/>
      </c>
      <c r="P27" s="9" t="str">
        <f>IF(COUNTIFS('3. 5기 수입지출장부'!$C$5:$C$2007,$C26,'3. 5기 수입지출장부'!$A$5:$A$2007,"&gt;="&amp;DATE(2026,P$5,1),'3. 5기 수입지출장부'!$A$5:$A$2007,"&lt;"&amp;DATE(2026,P$5+1,1),'3. 5기 수입지출장부'!$E$5:$E$2007,"&gt;0")&gt;0,"■","")</f>
        <v/>
      </c>
      <c r="Q27" s="206">
        <f>'3. 5기 수입지출장부'!E207</f>
        <v>0</v>
      </c>
      <c r="R27" s="207"/>
      <c r="S27" s="196"/>
      <c r="T27" s="196"/>
      <c r="U27" s="3"/>
      <c r="V27" s="3"/>
      <c r="W27" s="3"/>
      <c r="X27" s="192"/>
      <c r="Y27" s="17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88"/>
      <c r="AN27" s="180"/>
      <c r="AO27" s="185"/>
      <c r="AP27" s="179"/>
    </row>
    <row r="28" spans="1:42" ht="24.75" customHeight="1">
      <c r="A28" s="3"/>
      <c r="B28" s="218">
        <v>12</v>
      </c>
      <c r="C28" s="208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83">
        <f>'2. 5기_예산목간'!D41</f>
        <v>4000000</v>
      </c>
      <c r="R28" s="184"/>
      <c r="S28" s="200">
        <f>Q29/Q28</f>
        <v>0</v>
      </c>
      <c r="T28" s="195" t="s">
        <v>289</v>
      </c>
      <c r="U28" s="3"/>
      <c r="V28" s="3"/>
      <c r="W28" s="3"/>
      <c r="X28" s="180"/>
      <c r="Y28" s="180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1"/>
      <c r="AN28" s="180"/>
      <c r="AO28" s="180"/>
      <c r="AP28" s="180"/>
    </row>
    <row r="29" spans="1:42" ht="24.75" customHeight="1">
      <c r="A29" s="3"/>
      <c r="B29" s="205"/>
      <c r="C29" s="209"/>
      <c r="D29" s="14" t="s">
        <v>280</v>
      </c>
      <c r="E29" s="14" t="str">
        <f>IF(COUNTIFS('3. 5기 수입지출장부'!$C$5:$C$2007,$C28,'3. 5기 수입지출장부'!$A$5:$A$2007,"&gt;="&amp;DATE(2026,E$5,1),'3. 5기 수입지출장부'!$A$5:$A$2007,"&lt;"&amp;DATE(2026,E$5+1,1),'3. 5기 수입지출장부'!$E$5:$E$2007,"&gt;0")&gt;0,"■","")</f>
        <v/>
      </c>
      <c r="F29" s="14" t="str">
        <f>IF(COUNTIFS('3. 5기 수입지출장부'!$C$5:$C$2007,$C28,'3. 5기 수입지출장부'!$A$5:$A$2007,"&gt;="&amp;DATE(2026,F$5,1),'3. 5기 수입지출장부'!$A$5:$A$2007,"&lt;"&amp;DATE(2026,F$5+1,1),'3. 5기 수입지출장부'!$E$5:$E$2007,"&gt;0")&gt;0,"■","")</f>
        <v/>
      </c>
      <c r="G29" s="14" t="str">
        <f>IF(COUNTIFS('3. 5기 수입지출장부'!$C$5:$C$2007,$C28,'3. 5기 수입지출장부'!$A$5:$A$2007,"&gt;="&amp;DATE(2026,G$5,1),'3. 5기 수입지출장부'!$A$5:$A$2007,"&lt;"&amp;DATE(2026,G$5+1,1),'3. 5기 수입지출장부'!$E$5:$E$2007,"&gt;0")&gt;0,"■","")</f>
        <v/>
      </c>
      <c r="H29" s="14" t="str">
        <f>IF(COUNTIFS('3. 5기 수입지출장부'!$C$5:$C$2007,$C28,'3. 5기 수입지출장부'!$A$5:$A$2007,"&gt;="&amp;DATE(2026,H$5,1),'3. 5기 수입지출장부'!$A$5:$A$2007,"&lt;"&amp;DATE(2026,H$5+1,1),'3. 5기 수입지출장부'!$E$5:$E$2007,"&gt;0")&gt;0,"■","")</f>
        <v/>
      </c>
      <c r="I29" s="14" t="str">
        <f>IF(COUNTIFS('3. 5기 수입지출장부'!$C$5:$C$2007,$C28,'3. 5기 수입지출장부'!$A$5:$A$2007,"&gt;="&amp;DATE(2026,I$5,1),'3. 5기 수입지출장부'!$A$5:$A$2007,"&lt;"&amp;DATE(2026,I$5+1,1),'3. 5기 수입지출장부'!$E$5:$E$2007,"&gt;0")&gt;0,"■","")</f>
        <v/>
      </c>
      <c r="J29" s="14" t="str">
        <f>IF(COUNTIFS('3. 5기 수입지출장부'!$C$5:$C$2007,$C28,'3. 5기 수입지출장부'!$A$5:$A$2007,"&gt;="&amp;DATE(2026,J$5,1),'3. 5기 수입지출장부'!$A$5:$A$2007,"&lt;"&amp;DATE(2026,J$5+1,1),'3. 5기 수입지출장부'!$E$5:$E$2007,"&gt;0")&gt;0,"■","")</f>
        <v/>
      </c>
      <c r="K29" s="14" t="str">
        <f>IF(COUNTIFS('3. 5기 수입지출장부'!$C$5:$C$2007,$C28,'3. 5기 수입지출장부'!$A$5:$A$2007,"&gt;="&amp;DATE(2026,K$5,1),'3. 5기 수입지출장부'!$A$5:$A$2007,"&lt;"&amp;DATE(2026,K$5+1,1),'3. 5기 수입지출장부'!$E$5:$E$2007,"&gt;0")&gt;0,"■","")</f>
        <v/>
      </c>
      <c r="L29" s="14" t="str">
        <f>IF(COUNTIFS('3. 5기 수입지출장부'!$C$5:$C$2007,$C28,'3. 5기 수입지출장부'!$A$5:$A$2007,"&gt;="&amp;DATE(2026,L$5,1),'3. 5기 수입지출장부'!$A$5:$A$2007,"&lt;"&amp;DATE(2026,L$5+1,1),'3. 5기 수입지출장부'!$E$5:$E$2007,"&gt;0")&gt;0,"■","")</f>
        <v/>
      </c>
      <c r="M29" s="9" t="str">
        <f>IF(COUNTIFS('3. 5기 수입지출장부'!$C$5:$C$2007,$C28,'3. 5기 수입지출장부'!$A$5:$A$2007,"&gt;="&amp;DATE(2026,M$5,1),'3. 5기 수입지출장부'!$A$5:$A$2007,"&lt;"&amp;DATE(2026,M$5+1,1),'3. 5기 수입지출장부'!$E$5:$E$2007,"&gt;0")&gt;0,"■","")</f>
        <v/>
      </c>
      <c r="N29" s="9" t="str">
        <f>IF(COUNTIFS('3. 5기 수입지출장부'!$C$5:$C$2007,$C28,'3. 5기 수입지출장부'!$A$5:$A$2007,"&gt;="&amp;DATE(2026,N$5,1),'3. 5기 수입지출장부'!$A$5:$A$2007,"&lt;"&amp;DATE(2026,N$5+1,1),'3. 5기 수입지출장부'!$E$5:$E$2007,"&gt;0")&gt;0,"■","")</f>
        <v/>
      </c>
      <c r="O29" s="21" t="str">
        <f>IF(COUNTIFS('3. 5기 수입지출장부'!$C$5:$C$2007,$C28,'3. 5기 수입지출장부'!$A$5:$A$2007,"&gt;="&amp;DATE(2026,O$5,1),'3. 5기 수입지출장부'!$A$5:$A$2007,"&lt;"&amp;DATE(2026,O$5+1,1),'3. 5기 수입지출장부'!$E$5:$E$2007,"&gt;0")&gt;0,"■","")</f>
        <v/>
      </c>
      <c r="P29" s="14" t="str">
        <f>IF(COUNTIFS('3. 5기 수입지출장부'!$C$5:$C$2007,$C28,'3. 5기 수입지출장부'!$A$5:$A$2007,"&gt;="&amp;DATE(2026,P$5,1),'3. 5기 수입지출장부'!$A$5:$A$2007,"&lt;"&amp;DATE(2026,P$5+1,1),'3. 5기 수입지출장부'!$E$5:$E$2007,"&gt;0")&gt;0,"■","")</f>
        <v/>
      </c>
      <c r="Q29" s="206">
        <f>'3. 5기 수입지출장부'!E208</f>
        <v>0</v>
      </c>
      <c r="R29" s="207"/>
      <c r="S29" s="196"/>
      <c r="T29" s="196"/>
      <c r="U29" s="3"/>
      <c r="V29" s="3"/>
      <c r="W29" s="3"/>
      <c r="X29" s="192"/>
      <c r="Y29" s="17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88"/>
      <c r="AN29" s="180"/>
      <c r="AO29" s="185"/>
      <c r="AP29" s="179"/>
    </row>
    <row r="30" spans="1:42" ht="24.75" customHeight="1">
      <c r="A30" s="3"/>
      <c r="B30" s="204">
        <v>13</v>
      </c>
      <c r="C30" s="208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83">
        <f>'2. 5기_예산목간'!D42</f>
        <v>2300000</v>
      </c>
      <c r="R30" s="184"/>
      <c r="S30" s="200">
        <f>Q31/Q30</f>
        <v>0</v>
      </c>
      <c r="T30" s="195" t="s">
        <v>289</v>
      </c>
      <c r="U30" s="3"/>
      <c r="V30" s="3"/>
      <c r="W30" s="3"/>
      <c r="X30" s="180"/>
      <c r="Y30" s="180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91"/>
      <c r="AN30" s="180"/>
      <c r="AO30" s="180"/>
      <c r="AP30" s="180"/>
    </row>
    <row r="31" spans="1:42" ht="24.75" customHeight="1">
      <c r="A31" s="3"/>
      <c r="B31" s="205"/>
      <c r="C31" s="209"/>
      <c r="D31" s="14" t="s">
        <v>280</v>
      </c>
      <c r="E31" s="14" t="str">
        <f>IF(COUNTIFS('3. 5기 수입지출장부'!$C$5:$C$2007,$C30,'3. 5기 수입지출장부'!$A$5:$A$2007,"&gt;="&amp;DATE(2026,E$5,1),'3. 5기 수입지출장부'!$A$5:$A$2007,"&lt;"&amp;DATE(2026,E$5+1,1),'3. 5기 수입지출장부'!$E$5:$E$2007,"&gt;0")&gt;0,"■","")</f>
        <v/>
      </c>
      <c r="F31" s="14" t="str">
        <f>IF(COUNTIFS('3. 5기 수입지출장부'!$C$5:$C$2007,$C30,'3. 5기 수입지출장부'!$A$5:$A$2007,"&gt;="&amp;DATE(2026,F$5,1),'3. 5기 수입지출장부'!$A$5:$A$2007,"&lt;"&amp;DATE(2026,F$5+1,1),'3. 5기 수입지출장부'!$E$5:$E$2007,"&gt;0")&gt;0,"■","")</f>
        <v/>
      </c>
      <c r="G31" s="14" t="str">
        <f>IF(COUNTIFS('3. 5기 수입지출장부'!$C$5:$C$2007,$C30,'3. 5기 수입지출장부'!$A$5:$A$2007,"&gt;="&amp;DATE(2026,G$5,1),'3. 5기 수입지출장부'!$A$5:$A$2007,"&lt;"&amp;DATE(2026,G$5+1,1),'3. 5기 수입지출장부'!$E$5:$E$2007,"&gt;0")&gt;0,"■","")</f>
        <v/>
      </c>
      <c r="H31" s="14" t="str">
        <f>IF(COUNTIFS('3. 5기 수입지출장부'!$C$5:$C$2007,$C30,'3. 5기 수입지출장부'!$A$5:$A$2007,"&gt;="&amp;DATE(2026,H$5,1),'3. 5기 수입지출장부'!$A$5:$A$2007,"&lt;"&amp;DATE(2026,H$5+1,1),'3. 5기 수입지출장부'!$E$5:$E$2007,"&gt;0")&gt;0,"■","")</f>
        <v/>
      </c>
      <c r="I31" s="9" t="str">
        <f>IF(COUNTIFS('3. 5기 수입지출장부'!$C$5:$C$2007,$C30,'3. 5기 수입지출장부'!$A$5:$A$2007,"&gt;="&amp;DATE(2026,I$5,1),'3. 5기 수입지출장부'!$A$5:$A$2007,"&lt;"&amp;DATE(2026,I$5+1,1),'3. 5기 수입지출장부'!$E$5:$E$2007,"&gt;0")&gt;0,"■","")</f>
        <v/>
      </c>
      <c r="J31" s="9" t="str">
        <f>IF(COUNTIFS('3. 5기 수입지출장부'!$C$5:$C$2007,$C30,'3. 5기 수입지출장부'!$A$5:$A$2007,"&gt;="&amp;DATE(2026,J$5,1),'3. 5기 수입지출장부'!$A$5:$A$2007,"&lt;"&amp;DATE(2026,J$5+1,1),'3. 5기 수입지출장부'!$E$5:$E$2007,"&gt;0")&gt;0,"■","")</f>
        <v/>
      </c>
      <c r="K31" s="14" t="str">
        <f>IF(COUNTIFS('3. 5기 수입지출장부'!$C$5:$C$2007,$C30,'3. 5기 수입지출장부'!$A$5:$A$2007,"&gt;="&amp;DATE(2026,K$5,1),'3. 5기 수입지출장부'!$A$5:$A$2007,"&lt;"&amp;DATE(2026,K$5+1,1),'3. 5기 수입지출장부'!$E$5:$E$2007,"&gt;0")&gt;0,"■","")</f>
        <v/>
      </c>
      <c r="L31" s="14" t="str">
        <f>IF(COUNTIFS('3. 5기 수입지출장부'!$C$5:$C$2007,$C30,'3. 5기 수입지출장부'!$A$5:$A$2007,"&gt;="&amp;DATE(2026,L$5,1),'3. 5기 수입지출장부'!$A$5:$A$2007,"&lt;"&amp;DATE(2026,L$5+1,1),'3. 5기 수입지출장부'!$E$5:$E$2007,"&gt;0")&gt;0,"■","")</f>
        <v/>
      </c>
      <c r="M31" s="14" t="str">
        <f>IF(COUNTIFS('3. 5기 수입지출장부'!$C$5:$C$2007,$C30,'3. 5기 수입지출장부'!$A$5:$A$2007,"&gt;="&amp;DATE(2026,M$5,1),'3. 5기 수입지출장부'!$A$5:$A$2007,"&lt;"&amp;DATE(2026,M$5+1,1),'3. 5기 수입지출장부'!$E$5:$E$2007,"&gt;0")&gt;0,"■","")</f>
        <v/>
      </c>
      <c r="N31" s="14" t="str">
        <f>IF(COUNTIFS('3. 5기 수입지출장부'!$C$5:$C$2007,$C30,'3. 5기 수입지출장부'!$A$5:$A$2007,"&gt;="&amp;DATE(2026,N$5,1),'3. 5기 수입지출장부'!$A$5:$A$2007,"&lt;"&amp;DATE(2026,N$5+1,1),'3. 5기 수입지출장부'!$E$5:$E$2007,"&gt;0")&gt;0,"■","")</f>
        <v/>
      </c>
      <c r="O31" s="21" t="str">
        <f>IF(COUNTIFS('3. 5기 수입지출장부'!$C$5:$C$2007,$C30,'3. 5기 수입지출장부'!$A$5:$A$2007,"&gt;="&amp;DATE(2026,O$5,1),'3. 5기 수입지출장부'!$A$5:$A$2007,"&lt;"&amp;DATE(2026,O$5+1,1),'3. 5기 수입지출장부'!$E$5:$E$2007,"&gt;0")&gt;0,"■","")</f>
        <v/>
      </c>
      <c r="P31" s="14" t="str">
        <f>IF(COUNTIFS('3. 5기 수입지출장부'!$C$5:$C$2007,$C30,'3. 5기 수입지출장부'!$A$5:$A$2007,"&gt;="&amp;DATE(2026,P$5,1),'3. 5기 수입지출장부'!$A$5:$A$2007,"&lt;"&amp;DATE(2026,P$5+1,1),'3. 5기 수입지출장부'!$E$5:$E$2007,"&gt;0")&gt;0,"■","")</f>
        <v/>
      </c>
      <c r="Q31" s="206">
        <f>'3. 5기 수입지출장부'!E209</f>
        <v>0</v>
      </c>
      <c r="R31" s="207"/>
      <c r="S31" s="196"/>
      <c r="T31" s="196"/>
      <c r="U31" s="3"/>
      <c r="V31" s="3"/>
      <c r="W31" s="3"/>
      <c r="X31" s="192"/>
      <c r="Y31" s="17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88"/>
      <c r="AN31" s="180"/>
      <c r="AO31" s="185"/>
      <c r="AP31" s="179"/>
    </row>
    <row r="32" spans="1:42" ht="24.75" customHeight="1">
      <c r="A32" s="3"/>
      <c r="B32" s="218">
        <v>14</v>
      </c>
      <c r="C32" s="208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83">
        <f>'2. 5기_예산목간'!D43</f>
        <v>0</v>
      </c>
      <c r="R32" s="184"/>
      <c r="S32" s="200"/>
      <c r="T32" s="195" t="s">
        <v>289</v>
      </c>
      <c r="U32" s="3"/>
      <c r="V32" s="3"/>
      <c r="W32" s="3"/>
      <c r="X32" s="180"/>
      <c r="Y32" s="180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1"/>
      <c r="AN32" s="180"/>
      <c r="AO32" s="180"/>
      <c r="AP32" s="180"/>
    </row>
    <row r="33" spans="1:42" ht="24.75" customHeight="1">
      <c r="A33" s="3"/>
      <c r="B33" s="205"/>
      <c r="C33" s="209"/>
      <c r="D33" s="14" t="s">
        <v>280</v>
      </c>
      <c r="E33" s="14" t="str">
        <f>IF(COUNTIFS('3. 5기 수입지출장부'!$C$5:$C$2007,$C32,'3. 5기 수입지출장부'!$A$5:$A$2007,"&gt;="&amp;DATE(2026,E$5,1),'3. 5기 수입지출장부'!$A$5:$A$2007,"&lt;"&amp;DATE(2026,E$5+1,1),'3. 5기 수입지출장부'!$E$5:$E$2007,"&gt;0")&gt;0,"■","")</f>
        <v/>
      </c>
      <c r="F33" s="14" t="str">
        <f>IF(COUNTIFS('3. 5기 수입지출장부'!$C$5:$C$2007,$C32,'3. 5기 수입지출장부'!$A$5:$A$2007,"&gt;="&amp;DATE(2026,F$5,1),'3. 5기 수입지출장부'!$A$5:$A$2007,"&lt;"&amp;DATE(2026,F$5+1,1),'3. 5기 수입지출장부'!$E$5:$E$2007,"&gt;0")&gt;0,"■","")</f>
        <v/>
      </c>
      <c r="G33" s="14" t="str">
        <f>IF(COUNTIFS('3. 5기 수입지출장부'!$C$5:$C$2007,$C32,'3. 5기 수입지출장부'!$A$5:$A$2007,"&gt;="&amp;DATE(2026,G$5,1),'3. 5기 수입지출장부'!$A$5:$A$2007,"&lt;"&amp;DATE(2026,G$5+1,1),'3. 5기 수입지출장부'!$E$5:$E$2007,"&gt;0")&gt;0,"■","")</f>
        <v/>
      </c>
      <c r="H33" s="14" t="str">
        <f>IF(COUNTIFS('3. 5기 수입지출장부'!$C$5:$C$2007,$C32,'3. 5기 수입지출장부'!$A$5:$A$2007,"&gt;="&amp;DATE(2026,H$5,1),'3. 5기 수입지출장부'!$A$5:$A$2007,"&lt;"&amp;DATE(2026,H$5+1,1),'3. 5기 수입지출장부'!$E$5:$E$2007,"&gt;0")&gt;0,"■","")</f>
        <v/>
      </c>
      <c r="I33" s="14" t="str">
        <f>IF(COUNTIFS('3. 5기 수입지출장부'!$C$5:$C$2007,$C32,'3. 5기 수입지출장부'!$A$5:$A$2007,"&gt;="&amp;DATE(2026,I$5,1),'3. 5기 수입지출장부'!$A$5:$A$2007,"&lt;"&amp;DATE(2026,I$5+1,1),'3. 5기 수입지출장부'!$E$5:$E$2007,"&gt;0")&gt;0,"■","")</f>
        <v/>
      </c>
      <c r="J33" s="14" t="str">
        <f>IF(COUNTIFS('3. 5기 수입지출장부'!$C$5:$C$2007,$C32,'3. 5기 수입지출장부'!$A$5:$A$2007,"&gt;="&amp;DATE(2026,J$5,1),'3. 5기 수입지출장부'!$A$5:$A$2007,"&lt;"&amp;DATE(2026,J$5+1,1),'3. 5기 수입지출장부'!$E$5:$E$2007,"&gt;0")&gt;0,"■","")</f>
        <v/>
      </c>
      <c r="K33" s="14" t="str">
        <f>IF(COUNTIFS('3. 5기 수입지출장부'!$C$5:$C$2007,$C32,'3. 5기 수입지출장부'!$A$5:$A$2007,"&gt;="&amp;DATE(2026,K$5,1),'3. 5기 수입지출장부'!$A$5:$A$2007,"&lt;"&amp;DATE(2026,K$5+1,1),'3. 5기 수입지출장부'!$E$5:$E$2007,"&gt;0")&gt;0,"■","")</f>
        <v/>
      </c>
      <c r="L33" s="14" t="str">
        <f>IF(COUNTIFS('3. 5기 수입지출장부'!$C$5:$C$2007,$C32,'3. 5기 수입지출장부'!$A$5:$A$2007,"&gt;="&amp;DATE(2026,L$5,1),'3. 5기 수입지출장부'!$A$5:$A$2007,"&lt;"&amp;DATE(2026,L$5+1,1),'3. 5기 수입지출장부'!$E$5:$E$2007,"&gt;0")&gt;0,"■","")</f>
        <v/>
      </c>
      <c r="M33" s="14" t="str">
        <f>IF(COUNTIFS('3. 5기 수입지출장부'!$C$5:$C$2007,$C32,'3. 5기 수입지출장부'!$A$5:$A$2007,"&gt;="&amp;DATE(2026,M$5,1),'3. 5기 수입지출장부'!$A$5:$A$2007,"&lt;"&amp;DATE(2026,M$5+1,1),'3. 5기 수입지출장부'!$E$5:$E$2007,"&gt;0")&gt;0,"■","")</f>
        <v/>
      </c>
      <c r="N33" s="11" t="str">
        <f>IF(COUNTIFS('3. 5기 수입지출장부'!$C$5:$C$2007,$C32,'3. 5기 수입지출장부'!$A$5:$A$2007,"&gt;="&amp;DATE(2026,N$5,1),'3. 5기 수입지출장부'!$A$5:$A$2007,"&lt;"&amp;DATE(2026,N$5+1,1),'3. 5기 수입지출장부'!$E$5:$E$2007,"&gt;0")&gt;0,"■","")</f>
        <v/>
      </c>
      <c r="O33" s="21" t="str">
        <f>IF(COUNTIFS('3. 5기 수입지출장부'!$C$5:$C$2007,$C32,'3. 5기 수입지출장부'!$A$5:$A$2007,"&gt;="&amp;DATE(2026,O$5,1),'3. 5기 수입지출장부'!$A$5:$A$2007,"&lt;"&amp;DATE(2026,O$5+1,1),'3. 5기 수입지출장부'!$E$5:$E$2007,"&gt;0")&gt;0,"■","")</f>
        <v/>
      </c>
      <c r="P33" s="14" t="str">
        <f>IF(COUNTIFS('3. 5기 수입지출장부'!$C$5:$C$2007,$C32,'3. 5기 수입지출장부'!$A$5:$A$2007,"&gt;="&amp;DATE(2026,P$5,1),'3. 5기 수입지출장부'!$A$5:$A$2007,"&lt;"&amp;DATE(2026,P$5+1,1),'3. 5기 수입지출장부'!$E$5:$E$2007,"&gt;0")&gt;0,"■","")</f>
        <v/>
      </c>
      <c r="Q33" s="206">
        <f>'3. 5기 수입지출장부'!E210</f>
        <v>0</v>
      </c>
      <c r="R33" s="207"/>
      <c r="S33" s="196"/>
      <c r="T33" s="196"/>
      <c r="U33" s="3"/>
      <c r="V33" s="3"/>
      <c r="W33" s="3"/>
      <c r="X33" s="192"/>
      <c r="Y33" s="17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88"/>
      <c r="AN33" s="180"/>
      <c r="AO33" s="185"/>
      <c r="AP33" s="179"/>
    </row>
    <row r="34" spans="1:42" ht="24.75" customHeight="1">
      <c r="A34" s="3"/>
      <c r="B34" s="218">
        <f>B32+1</f>
        <v>15</v>
      </c>
      <c r="C34" s="208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183">
        <f>'2. 5기_예산목간'!D45</f>
        <v>600000</v>
      </c>
      <c r="R34" s="184"/>
      <c r="S34" s="238">
        <f>Q35/Q34</f>
        <v>0</v>
      </c>
      <c r="T34" s="219" t="s">
        <v>290</v>
      </c>
      <c r="U34" s="3"/>
      <c r="V34" s="3"/>
      <c r="W34" s="3"/>
      <c r="X34" s="180"/>
      <c r="Y34" s="180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1"/>
      <c r="AN34" s="180"/>
      <c r="AO34" s="180"/>
      <c r="AP34" s="180"/>
    </row>
    <row r="35" spans="1:42" ht="24.75" customHeight="1">
      <c r="A35" s="3"/>
      <c r="B35" s="205"/>
      <c r="C35" s="209"/>
      <c r="D35" s="14" t="s">
        <v>280</v>
      </c>
      <c r="E35" s="14" t="str">
        <f>IF(COUNTIFS('3. 5기 수입지출장부'!$C$5:$C$2007,$C34,'3. 5기 수입지출장부'!$A$5:$A$2007,"&gt;="&amp;DATE(2026,E$5,1),'3. 5기 수입지출장부'!$A$5:$A$2007,"&lt;"&amp;DATE(2026,E$5+1,1),'3. 5기 수입지출장부'!$E$5:$E$2007,"&gt;0")&gt;0,"■","")</f>
        <v/>
      </c>
      <c r="F35" s="14" t="str">
        <f>IF(COUNTIFS('3. 5기 수입지출장부'!$C$5:$C$2007,$C34,'3. 5기 수입지출장부'!$A$5:$A$2007,"&gt;="&amp;DATE(2026,F$5,1),'3. 5기 수입지출장부'!$A$5:$A$2007,"&lt;"&amp;DATE(2026,F$5+1,1),'3. 5기 수입지출장부'!$E$5:$E$2007,"&gt;0")&gt;0,"■","")</f>
        <v/>
      </c>
      <c r="G35" s="14" t="str">
        <f>IF(COUNTIFS('3. 5기 수입지출장부'!$C$5:$C$2007,$C34,'3. 5기 수입지출장부'!$A$5:$A$2007,"&gt;="&amp;DATE(2026,G$5,1),'3. 5기 수입지출장부'!$A$5:$A$2007,"&lt;"&amp;DATE(2026,G$5+1,1),'3. 5기 수입지출장부'!$E$5:$E$2007,"&gt;0")&gt;0,"■","")</f>
        <v/>
      </c>
      <c r="H35" s="14" t="str">
        <f>IF(COUNTIFS('3. 5기 수입지출장부'!$C$5:$C$2007,$C34,'3. 5기 수입지출장부'!$A$5:$A$2007,"&gt;="&amp;DATE(2026,H$5,1),'3. 5기 수입지출장부'!$A$5:$A$2007,"&lt;"&amp;DATE(2026,H$5+1,1),'3. 5기 수입지출장부'!$E$5:$E$2007,"&gt;0")&gt;0,"■","")</f>
        <v/>
      </c>
      <c r="I35" s="14" t="str">
        <f>IF(COUNTIFS('3. 5기 수입지출장부'!$C$5:$C$2007,$C34,'3. 5기 수입지출장부'!$A$5:$A$2007,"&gt;="&amp;DATE(2026,I$5,1),'3. 5기 수입지출장부'!$A$5:$A$2007,"&lt;"&amp;DATE(2026,I$5+1,1),'3. 5기 수입지출장부'!$E$5:$E$2007,"&gt;0")&gt;0,"■","")</f>
        <v/>
      </c>
      <c r="J35" s="14" t="str">
        <f>IF(COUNTIFS('3. 5기 수입지출장부'!$C$5:$C$2007,$C34,'3. 5기 수입지출장부'!$A$5:$A$2007,"&gt;="&amp;DATE(2026,J$5,1),'3. 5기 수입지출장부'!$A$5:$A$2007,"&lt;"&amp;DATE(2026,J$5+1,1),'3. 5기 수입지출장부'!$E$5:$E$2007,"&gt;0")&gt;0,"■","")</f>
        <v/>
      </c>
      <c r="K35" s="14" t="str">
        <f>IF(COUNTIFS('3. 5기 수입지출장부'!$C$5:$C$2007,$C34,'3. 5기 수입지출장부'!$A$5:$A$2007,"&gt;="&amp;DATE(2026,K$5,1),'3. 5기 수입지출장부'!$A$5:$A$2007,"&lt;"&amp;DATE(2026,K$5+1,1),'3. 5기 수입지출장부'!$E$5:$E$2007,"&gt;0")&gt;0,"■","")</f>
        <v/>
      </c>
      <c r="L35" s="14" t="str">
        <f>IF(COUNTIFS('3. 5기 수입지출장부'!$C$5:$C$2007,$C34,'3. 5기 수입지출장부'!$A$5:$A$2007,"&gt;="&amp;DATE(2026,L$5,1),'3. 5기 수입지출장부'!$A$5:$A$2007,"&lt;"&amp;DATE(2026,L$5+1,1),'3. 5기 수입지출장부'!$E$5:$E$2007,"&gt;0")&gt;0,"■","")</f>
        <v/>
      </c>
      <c r="M35" s="9" t="str">
        <f>IF(COUNTIFS('3. 5기 수입지출장부'!$C$5:$C$2007,$C34,'3. 5기 수입지출장부'!$A$5:$A$2007,"&gt;="&amp;DATE(2026,M$5,1),'3. 5기 수입지출장부'!$A$5:$A$2007,"&lt;"&amp;DATE(2026,M$5+1,1),'3. 5기 수입지출장부'!$E$5:$E$2007,"&gt;0")&gt;0,"■","")</f>
        <v/>
      </c>
      <c r="N35" s="9" t="str">
        <f>IF(COUNTIFS('3. 5기 수입지출장부'!$C$5:$C$2007,$C34,'3. 5기 수입지출장부'!$A$5:$A$2007,"&gt;="&amp;DATE(2026,N$5,1),'3. 5기 수입지출장부'!$A$5:$A$2007,"&lt;"&amp;DATE(2026,N$5+1,1),'3. 5기 수입지출장부'!$E$5:$E$2007,"&gt;0")&gt;0,"■","")</f>
        <v/>
      </c>
      <c r="O35" s="14" t="str">
        <f>IF(COUNTIFS('3. 5기 수입지출장부'!$C$5:$C$2007,$C34,'3. 5기 수입지출장부'!$A$5:$A$2007,"&gt;="&amp;DATE(2026,O$5,1),'3. 5기 수입지출장부'!$A$5:$A$2007,"&lt;"&amp;DATE(2026,O$5+1,1),'3. 5기 수입지출장부'!$E$5:$E$2007,"&gt;0")&gt;0,"■","")</f>
        <v/>
      </c>
      <c r="P35" s="14" t="str">
        <f>IF(COUNTIFS('3. 5기 수입지출장부'!$C$5:$C$2007,$C34,'3. 5기 수입지출장부'!$A$5:$A$2007,"&gt;="&amp;DATE(2026,P$5,1),'3. 5기 수입지출장부'!$A$5:$A$2007,"&lt;"&amp;DATE(2026,P$5+1,1),'3. 5기 수입지출장부'!$E$5:$E$2007,"&gt;0")&gt;0,"■","")</f>
        <v/>
      </c>
      <c r="Q35" s="206">
        <f>'3. 5기 수입지출장부'!E211</f>
        <v>0</v>
      </c>
      <c r="R35" s="207"/>
      <c r="S35" s="196"/>
      <c r="T35" s="190"/>
      <c r="U35" s="3"/>
      <c r="V35" s="3"/>
      <c r="W35" s="3"/>
      <c r="X35" s="192"/>
      <c r="Y35" s="17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88"/>
      <c r="AN35" s="180"/>
      <c r="AO35" s="185"/>
      <c r="AP35" s="179"/>
    </row>
    <row r="36" spans="1:42" ht="24.75" customHeight="1">
      <c r="A36" s="3"/>
      <c r="B36" s="218">
        <v>16</v>
      </c>
      <c r="C36" s="208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83">
        <f>'2. 5기_예산목간'!D47</f>
        <v>300000</v>
      </c>
      <c r="R36" s="184"/>
      <c r="S36" s="186">
        <f>Q37/Q36</f>
        <v>0</v>
      </c>
      <c r="T36" s="219" t="s">
        <v>291</v>
      </c>
      <c r="U36" s="3"/>
      <c r="V36" s="3"/>
      <c r="W36" s="3"/>
      <c r="X36" s="180"/>
      <c r="Y36" s="180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1"/>
      <c r="AN36" s="180"/>
      <c r="AO36" s="180"/>
      <c r="AP36" s="180"/>
    </row>
    <row r="37" spans="1:42" ht="24.75" customHeight="1">
      <c r="A37" s="3"/>
      <c r="B37" s="205"/>
      <c r="C37" s="209"/>
      <c r="D37" s="14" t="s">
        <v>280</v>
      </c>
      <c r="E37" s="14" t="str">
        <f>IF(COUNTIFS('3. 5기 수입지출장부'!$C$5:$C$2007,$C36,'3. 5기 수입지출장부'!$A$5:$A$2007,"&gt;="&amp;DATE(2026,E$5,1),'3. 5기 수입지출장부'!$A$5:$A$2007,"&lt;"&amp;DATE(2026,E$5+1,1),'3. 5기 수입지출장부'!$E$5:$E$2007,"&gt;0")&gt;0,"■","")</f>
        <v/>
      </c>
      <c r="F37" s="14" t="str">
        <f>IF(COUNTIFS('3. 5기 수입지출장부'!$C$5:$C$2007,$C36,'3. 5기 수입지출장부'!$A$5:$A$2007,"&gt;="&amp;DATE(2026,F$5,1),'3. 5기 수입지출장부'!$A$5:$A$2007,"&lt;"&amp;DATE(2026,F$5+1,1),'3. 5기 수입지출장부'!$E$5:$E$2007,"&gt;0")&gt;0,"■","")</f>
        <v/>
      </c>
      <c r="G37" s="14" t="str">
        <f>IF(COUNTIFS('3. 5기 수입지출장부'!$C$5:$C$2007,$C36,'3. 5기 수입지출장부'!$A$5:$A$2007,"&gt;="&amp;DATE(2026,G$5,1),'3. 5기 수입지출장부'!$A$5:$A$2007,"&lt;"&amp;DATE(2026,G$5+1,1),'3. 5기 수입지출장부'!$E$5:$E$2007,"&gt;0")&gt;0,"■","")</f>
        <v/>
      </c>
      <c r="H37" s="5" t="str">
        <f>IF(COUNTIFS('3. 5기 수입지출장부'!$C$5:$C$2007,$C36,'3. 5기 수입지출장부'!$A$5:$A$2007,"&gt;="&amp;DATE(2026,H$5,1),'3. 5기 수입지출장부'!$A$5:$A$2007,"&lt;"&amp;DATE(2026,H$5+1,1),'3. 5기 수입지출장부'!$E$5:$E$2007,"&gt;0")&gt;0,"■","")</f>
        <v/>
      </c>
      <c r="I37" s="5" t="str">
        <f>IF(COUNTIFS('3. 5기 수입지출장부'!$C$5:$C$2007,$C36,'3. 5기 수입지출장부'!$A$5:$A$2007,"&gt;="&amp;DATE(2026,I$5,1),'3. 5기 수입지출장부'!$A$5:$A$2007,"&lt;"&amp;DATE(2026,I$5+1,1),'3. 5기 수입지출장부'!$E$5:$E$2007,"&gt;0")&gt;0,"■","")</f>
        <v/>
      </c>
      <c r="J37" s="5" t="str">
        <f>IF(COUNTIFS('3. 5기 수입지출장부'!$C$5:$C$2007,$C36,'3. 5기 수입지출장부'!$A$5:$A$2007,"&gt;="&amp;DATE(2026,J$5,1),'3. 5기 수입지출장부'!$A$5:$A$2007,"&lt;"&amp;DATE(2026,J$5+1,1),'3. 5기 수입지출장부'!$E$5:$E$2007,"&gt;0")&gt;0,"■","")</f>
        <v/>
      </c>
      <c r="K37" s="5" t="str">
        <f>IF(COUNTIFS('3. 5기 수입지출장부'!$C$5:$C$2007,$C36,'3. 5기 수입지출장부'!$A$5:$A$2007,"&gt;="&amp;DATE(2026,K$5,1),'3. 5기 수입지출장부'!$A$5:$A$2007,"&lt;"&amp;DATE(2026,K$5+1,1),'3. 5기 수입지출장부'!$E$5:$E$2007,"&gt;0")&gt;0,"■","")</f>
        <v/>
      </c>
      <c r="L37" s="5" t="str">
        <f>IF(COUNTIFS('3. 5기 수입지출장부'!$C$5:$C$2007,$C36,'3. 5기 수입지출장부'!$A$5:$A$2007,"&gt;="&amp;DATE(2026,L$5,1),'3. 5기 수입지출장부'!$A$5:$A$2007,"&lt;"&amp;DATE(2026,L$5+1,1),'3. 5기 수입지출장부'!$E$5:$E$2007,"&gt;0")&gt;0,"■","")</f>
        <v/>
      </c>
      <c r="M37" s="5" t="str">
        <f>IF(COUNTIFS('3. 5기 수입지출장부'!$C$5:$C$2007,$C36,'3. 5기 수입지출장부'!$A$5:$A$2007,"&gt;="&amp;DATE(2026,M$5,1),'3. 5기 수입지출장부'!$A$5:$A$2007,"&lt;"&amp;DATE(2026,M$5+1,1),'3. 5기 수입지출장부'!$E$5:$E$2007,"&gt;0")&gt;0,"■","")</f>
        <v/>
      </c>
      <c r="N37" s="5" t="str">
        <f>IF(COUNTIFS('3. 5기 수입지출장부'!$C$5:$C$2007,$C36,'3. 5기 수입지출장부'!$A$5:$A$2007,"&gt;="&amp;DATE(2026,N$5,1),'3. 5기 수입지출장부'!$A$5:$A$2007,"&lt;"&amp;DATE(2026,N$5+1,1),'3. 5기 수입지출장부'!$E$5:$E$2007,"&gt;0")&gt;0,"■","")</f>
        <v/>
      </c>
      <c r="O37" s="5" t="str">
        <f>IF(COUNTIFS('3. 5기 수입지출장부'!$C$5:$C$2007,$C36,'3. 5기 수입지출장부'!$A$5:$A$2007,"&gt;="&amp;DATE(2026,O$5,1),'3. 5기 수입지출장부'!$A$5:$A$2007,"&lt;"&amp;DATE(2026,O$5+1,1),'3. 5기 수입지출장부'!$E$5:$E$2007,"&gt;0")&gt;0,"■","")</f>
        <v/>
      </c>
      <c r="P37" s="14" t="str">
        <f>IF(COUNTIFS('3. 5기 수입지출장부'!$C$5:$C$2007,$C36,'3. 5기 수입지출장부'!$A$5:$A$2007,"&gt;="&amp;DATE(2026,P$5,1),'3. 5기 수입지출장부'!$A$5:$A$2007,"&lt;"&amp;DATE(2026,P$5+1,1),'3. 5기 수입지출장부'!$E$5:$E$2007,"&gt;0")&gt;0,"■","")</f>
        <v/>
      </c>
      <c r="Q37" s="198">
        <f>'3. 5기 수입지출장부'!E212</f>
        <v>0</v>
      </c>
      <c r="R37" s="199"/>
      <c r="S37" s="187"/>
      <c r="T37" s="190"/>
      <c r="U37" s="3"/>
      <c r="V37" s="3"/>
      <c r="W37" s="3"/>
      <c r="X37" s="192"/>
      <c r="Y37" s="17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88"/>
      <c r="AN37" s="180"/>
      <c r="AO37" s="185"/>
      <c r="AP37" s="179"/>
    </row>
    <row r="38" spans="1:42" ht="24.75" customHeight="1">
      <c r="A38" s="3"/>
      <c r="B38" s="204">
        <v>17</v>
      </c>
      <c r="C38" s="208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183">
        <f>'2. 5기_예산목간'!D49</f>
        <v>500000</v>
      </c>
      <c r="R38" s="184"/>
      <c r="S38" s="238">
        <v>0</v>
      </c>
      <c r="T38" s="219" t="s">
        <v>292</v>
      </c>
      <c r="U38" s="3"/>
      <c r="V38" s="3"/>
      <c r="W38" s="3"/>
      <c r="X38" s="180"/>
      <c r="Y38" s="180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91"/>
      <c r="AN38" s="180"/>
      <c r="AO38" s="180"/>
      <c r="AP38" s="180"/>
    </row>
    <row r="39" spans="1:42" ht="24.75" customHeight="1">
      <c r="A39" s="3"/>
      <c r="B39" s="205"/>
      <c r="C39" s="209"/>
      <c r="D39" s="14" t="s">
        <v>280</v>
      </c>
      <c r="E39" s="14" t="str">
        <f>IF(COUNTIFS('3. 5기 수입지출장부'!$C$5:$C$2007,$C38,'3. 5기 수입지출장부'!$A$5:$A$2007,"&gt;="&amp;DATE(2026,E$5,1),'3. 5기 수입지출장부'!$A$5:$A$2007,"&lt;"&amp;DATE(2026,E$5+1,1),'3. 5기 수입지출장부'!$E$5:$E$2007,"&gt;0")&gt;0,"■","")</f>
        <v/>
      </c>
      <c r="F39" s="14" t="str">
        <f>IF(COUNTIFS('3. 5기 수입지출장부'!$C$5:$C$2007,$C38,'3. 5기 수입지출장부'!$A$5:$A$2007,"&gt;="&amp;DATE(2026,F$5,1),'3. 5기 수입지출장부'!$A$5:$A$2007,"&lt;"&amp;DATE(2026,F$5+1,1),'3. 5기 수입지출장부'!$E$5:$E$2007,"&gt;0")&gt;0,"■","")</f>
        <v/>
      </c>
      <c r="G39" s="14" t="str">
        <f>IF(COUNTIFS('3. 5기 수입지출장부'!$C$5:$C$2007,$C38,'3. 5기 수입지출장부'!$A$5:$A$2007,"&gt;="&amp;DATE(2026,G$5,1),'3. 5기 수입지출장부'!$A$5:$A$2007,"&lt;"&amp;DATE(2026,G$5+1,1),'3. 5기 수입지출장부'!$E$5:$E$2007,"&gt;0")&gt;0,"■","")</f>
        <v/>
      </c>
      <c r="H39" s="14" t="str">
        <f>IF(COUNTIFS('3. 5기 수입지출장부'!$C$5:$C$2007,$C38,'3. 5기 수입지출장부'!$A$5:$A$2007,"&gt;="&amp;DATE(2026,H$5,1),'3. 5기 수입지출장부'!$A$5:$A$2007,"&lt;"&amp;DATE(2026,H$5+1,1),'3. 5기 수입지출장부'!$E$5:$E$2007,"&gt;0")&gt;0,"■","")</f>
        <v/>
      </c>
      <c r="I39" s="14" t="str">
        <f>IF(COUNTIFS('3. 5기 수입지출장부'!$C$5:$C$2007,$C38,'3. 5기 수입지출장부'!$A$5:$A$2007,"&gt;="&amp;DATE(2026,I$5,1),'3. 5기 수입지출장부'!$A$5:$A$2007,"&lt;"&amp;DATE(2026,I$5+1,1),'3. 5기 수입지출장부'!$E$5:$E$2007,"&gt;0")&gt;0,"■","")</f>
        <v/>
      </c>
      <c r="J39" s="14" t="str">
        <f>IF(COUNTIFS('3. 5기 수입지출장부'!$C$5:$C$2007,$C38,'3. 5기 수입지출장부'!$A$5:$A$2007,"&gt;="&amp;DATE(2026,J$5,1),'3. 5기 수입지출장부'!$A$5:$A$2007,"&lt;"&amp;DATE(2026,J$5+1,1),'3. 5기 수입지출장부'!$E$5:$E$2007,"&gt;0")&gt;0,"■","")</f>
        <v/>
      </c>
      <c r="K39" s="14" t="str">
        <f>IF(COUNTIFS('3. 5기 수입지출장부'!$C$5:$C$2007,$C38,'3. 5기 수입지출장부'!$A$5:$A$2007,"&gt;="&amp;DATE(2026,K$5,1),'3. 5기 수입지출장부'!$A$5:$A$2007,"&lt;"&amp;DATE(2026,K$5+1,1),'3. 5기 수입지출장부'!$E$5:$E$2007,"&gt;0")&gt;0,"■","")</f>
        <v/>
      </c>
      <c r="L39" s="14" t="str">
        <f>IF(COUNTIFS('3. 5기 수입지출장부'!$C$5:$C$2007,$C38,'3. 5기 수입지출장부'!$A$5:$A$2007,"&gt;="&amp;DATE(2026,L$5,1),'3. 5기 수입지출장부'!$A$5:$A$2007,"&lt;"&amp;DATE(2026,L$5+1,1),'3. 5기 수입지출장부'!$E$5:$E$2007,"&gt;0")&gt;0,"■","")</f>
        <v/>
      </c>
      <c r="M39" s="14" t="str">
        <f>IF(COUNTIFS('3. 5기 수입지출장부'!$C$5:$C$2007,$C38,'3. 5기 수입지출장부'!$A$5:$A$2007,"&gt;="&amp;DATE(2026,M$5,1),'3. 5기 수입지출장부'!$A$5:$A$2007,"&lt;"&amp;DATE(2026,M$5+1,1),'3. 5기 수입지출장부'!$E$5:$E$2007,"&gt;0")&gt;0,"■","")</f>
        <v/>
      </c>
      <c r="N39" s="14" t="str">
        <f>IF(COUNTIFS('3. 5기 수입지출장부'!$C$5:$C$2007,$C38,'3. 5기 수입지출장부'!$A$5:$A$2007,"&gt;="&amp;DATE(2026,N$5,1),'3. 5기 수입지출장부'!$A$5:$A$2007,"&lt;"&amp;DATE(2026,N$5+1,1),'3. 5기 수입지출장부'!$E$5:$E$2007,"&gt;0")&gt;0,"■","")</f>
        <v/>
      </c>
      <c r="O39" s="14" t="str">
        <f>IF(COUNTIFS('3. 5기 수입지출장부'!$C$5:$C$2007,$C38,'3. 5기 수입지출장부'!$A$5:$A$2007,"&gt;="&amp;DATE(2026,O$5,1),'3. 5기 수입지출장부'!$A$5:$A$2007,"&lt;"&amp;DATE(2026,O$5+1,1),'3. 5기 수입지출장부'!$E$5:$E$2007,"&gt;0")&gt;0,"■","")</f>
        <v/>
      </c>
      <c r="P39" s="14" t="str">
        <f>IF(COUNTIFS('3. 5기 수입지출장부'!$C$5:$C$2007,$C38,'3. 5기 수입지출장부'!$A$5:$A$2007,"&gt;="&amp;DATE(2026,P$5,1),'3. 5기 수입지출장부'!$A$5:$A$2007,"&lt;"&amp;DATE(2026,P$5+1,1),'3. 5기 수입지출장부'!$E$5:$E$2007,"&gt;0")&gt;0,"■","")</f>
        <v/>
      </c>
      <c r="Q39" s="198">
        <f>'3. 5기 수입지출장부'!E213</f>
        <v>0</v>
      </c>
      <c r="R39" s="199"/>
      <c r="S39" s="196"/>
      <c r="T39" s="190"/>
      <c r="U39" s="3"/>
      <c r="V39" s="3"/>
      <c r="W39" s="3"/>
      <c r="X39" s="192"/>
      <c r="Y39" s="17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88"/>
      <c r="AN39" s="180"/>
      <c r="AO39" s="185"/>
      <c r="AP39" s="179"/>
    </row>
    <row r="40" spans="1:42" ht="24.75" customHeight="1">
      <c r="A40" s="3"/>
      <c r="B40" s="218">
        <v>18</v>
      </c>
      <c r="C40" s="208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183">
        <f>'2. 5기_예산목간'!D50</f>
        <v>400000</v>
      </c>
      <c r="R40" s="184"/>
      <c r="S40" s="238">
        <v>0</v>
      </c>
      <c r="T40" s="219" t="s">
        <v>292</v>
      </c>
      <c r="U40" s="3"/>
      <c r="V40" s="3"/>
      <c r="W40" s="3"/>
      <c r="X40" s="180"/>
      <c r="Y40" s="180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91"/>
      <c r="AN40" s="180"/>
      <c r="AO40" s="180"/>
      <c r="AP40" s="180"/>
    </row>
    <row r="41" spans="1:42" ht="24.75" customHeight="1">
      <c r="A41" s="3"/>
      <c r="B41" s="205"/>
      <c r="C41" s="209"/>
      <c r="D41" s="14" t="s">
        <v>280</v>
      </c>
      <c r="E41" s="14" t="str">
        <f>IF(COUNTIFS('3. 5기 수입지출장부'!$C$5:$C$2007,SUBSTITUTE($C40,", ",","),'3. 5기 수입지출장부'!$A$5:$A$2007,"&gt;="&amp;DATE(2026,E$5,1),'3. 5기 수입지출장부'!$A$5:$A$2007,"&lt;"&amp;DATE(2026,E$5+1,1),'3. 5기 수입지출장부'!$E$5:$E$2007,"&gt;0")&gt;0,"■","")</f>
        <v/>
      </c>
      <c r="F41" s="14" t="str">
        <f>IF(COUNTIFS('3. 5기 수입지출장부'!$C$5:$C$2007,SUBSTITUTE($C40,", ",","),'3. 5기 수입지출장부'!$A$5:$A$2007,"&gt;="&amp;DATE(2026,F$5,1),'3. 5기 수입지출장부'!$A$5:$A$2007,"&lt;"&amp;DATE(2026,F$5+1,1),'3. 5기 수입지출장부'!$E$5:$E$2007,"&gt;0")&gt;0,"■","")</f>
        <v/>
      </c>
      <c r="G41" s="14" t="str">
        <f>IF(COUNTIFS('3. 5기 수입지출장부'!$C$5:$C$2007,SUBSTITUTE($C40,", ",","),'3. 5기 수입지출장부'!$A$5:$A$2007,"&gt;="&amp;DATE(2026,G$5,1),'3. 5기 수입지출장부'!$A$5:$A$2007,"&lt;"&amp;DATE(2026,G$5+1,1),'3. 5기 수입지출장부'!$E$5:$E$2007,"&gt;0")&gt;0,"■","")</f>
        <v/>
      </c>
      <c r="H41" s="14" t="str">
        <f>IF(COUNTIFS('3. 5기 수입지출장부'!$C$5:$C$2007,SUBSTITUTE($C40,", ",","),'3. 5기 수입지출장부'!$A$5:$A$2007,"&gt;="&amp;DATE(2026,H$5,1),'3. 5기 수입지출장부'!$A$5:$A$2007,"&lt;"&amp;DATE(2026,H$5+1,1),'3. 5기 수입지출장부'!$E$5:$E$2007,"&gt;0")&gt;0,"■","")</f>
        <v/>
      </c>
      <c r="I41" s="14" t="str">
        <f>IF(COUNTIFS('3. 5기 수입지출장부'!$C$5:$C$2007,SUBSTITUTE($C40,", ",","),'3. 5기 수입지출장부'!$A$5:$A$2007,"&gt;="&amp;DATE(2026,I$5,1),'3. 5기 수입지출장부'!$A$5:$A$2007,"&lt;"&amp;DATE(2026,I$5+1,1),'3. 5기 수입지출장부'!$E$5:$E$2007,"&gt;0")&gt;0,"■","")</f>
        <v/>
      </c>
      <c r="J41" s="14" t="str">
        <f>IF(COUNTIFS('3. 5기 수입지출장부'!$C$5:$C$2007,SUBSTITUTE($C40,", ",","),'3. 5기 수입지출장부'!$A$5:$A$2007,"&gt;="&amp;DATE(2026,J$5,1),'3. 5기 수입지출장부'!$A$5:$A$2007,"&lt;"&amp;DATE(2026,J$5+1,1),'3. 5기 수입지출장부'!$E$5:$E$2007,"&gt;0")&gt;0,"■","")</f>
        <v/>
      </c>
      <c r="K41" s="14" t="str">
        <f>IF(COUNTIFS('3. 5기 수입지출장부'!$C$5:$C$2007,SUBSTITUTE($C40,", ",","),'3. 5기 수입지출장부'!$A$5:$A$2007,"&gt;="&amp;DATE(2026,K$5,1),'3. 5기 수입지출장부'!$A$5:$A$2007,"&lt;"&amp;DATE(2026,K$5+1,1),'3. 5기 수입지출장부'!$E$5:$E$2007,"&gt;0")&gt;0,"■","")</f>
        <v/>
      </c>
      <c r="L41" s="14" t="str">
        <f>IF(COUNTIFS('3. 5기 수입지출장부'!$C$5:$C$2007,SUBSTITUTE($C40,", ",","),'3. 5기 수입지출장부'!$A$5:$A$2007,"&gt;="&amp;DATE(2026,L$5,1),'3. 5기 수입지출장부'!$A$5:$A$2007,"&lt;"&amp;DATE(2026,L$5+1,1),'3. 5기 수입지출장부'!$E$5:$E$2007,"&gt;0")&gt;0,"■","")</f>
        <v/>
      </c>
      <c r="M41" s="14" t="str">
        <f>IF(COUNTIFS('3. 5기 수입지출장부'!$C$5:$C$2007,SUBSTITUTE($C40,", ",","),'3. 5기 수입지출장부'!$A$5:$A$2007,"&gt;="&amp;DATE(2026,M$5,1),'3. 5기 수입지출장부'!$A$5:$A$2007,"&lt;"&amp;DATE(2026,M$5+1,1),'3. 5기 수입지출장부'!$E$5:$E$2007,"&gt;0")&gt;0,"■","")</f>
        <v/>
      </c>
      <c r="N41" s="14" t="str">
        <f>IF(COUNTIFS('3. 5기 수입지출장부'!$C$5:$C$2007,SUBSTITUTE($C40,", ",","),'3. 5기 수입지출장부'!$A$5:$A$2007,"&gt;="&amp;DATE(2026,N$5,1),'3. 5기 수입지출장부'!$A$5:$A$2007,"&lt;"&amp;DATE(2026,N$5+1,1),'3. 5기 수입지출장부'!$E$5:$E$2007,"&gt;0")&gt;0,"■","")</f>
        <v/>
      </c>
      <c r="O41" s="14" t="str">
        <f>IF(COUNTIFS('3. 5기 수입지출장부'!$C$5:$C$2007,SUBSTITUTE($C40,", ",","),'3. 5기 수입지출장부'!$A$5:$A$2007,"&gt;="&amp;DATE(2026,O$5,1),'3. 5기 수입지출장부'!$A$5:$A$2007,"&lt;"&amp;DATE(2026,O$5+1,1),'3. 5기 수입지출장부'!$E$5:$E$2007,"&gt;0")&gt;0,"■","")</f>
        <v/>
      </c>
      <c r="P41" s="14" t="str">
        <f>IF(COUNTIFS('3. 5기 수입지출장부'!$C$5:$C$2007,SUBSTITUTE($C40,", ",","),'3. 5기 수입지출장부'!$A$5:$A$2007,"&gt;="&amp;DATE(2026,P$5,1),'3. 5기 수입지출장부'!$A$5:$A$2007,"&lt;"&amp;DATE(2026,P$5+1,1),'3. 5기 수입지출장부'!$E$5:$E$2007,"&gt;0")&gt;0,"■","")</f>
        <v/>
      </c>
      <c r="Q41" s="198">
        <f>'3. 5기 수입지출장부'!E214</f>
        <v>0</v>
      </c>
      <c r="R41" s="199"/>
      <c r="S41" s="196"/>
      <c r="T41" s="190"/>
      <c r="U41" s="3"/>
      <c r="V41" s="3"/>
      <c r="W41" s="3"/>
      <c r="X41" s="192"/>
      <c r="Y41" s="17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1"/>
      <c r="AN41" s="180"/>
      <c r="AO41" s="185"/>
      <c r="AP41" s="179"/>
    </row>
    <row r="42" spans="1:42" ht="24.75" customHeight="1">
      <c r="A42" s="3"/>
      <c r="B42" s="218">
        <f>B40+1</f>
        <v>19</v>
      </c>
      <c r="C42" s="208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83">
        <f>'2. 5기_예산목간'!D53</f>
        <v>0</v>
      </c>
      <c r="R42" s="184"/>
      <c r="S42" s="200" t="e">
        <f>Q43/Q42</f>
        <v>#DIV/0!</v>
      </c>
      <c r="T42" s="219" t="s">
        <v>283</v>
      </c>
      <c r="U42" s="3"/>
      <c r="V42" s="3"/>
      <c r="W42" s="3" t="s">
        <v>293</v>
      </c>
      <c r="X42" s="180"/>
      <c r="Y42" s="180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91"/>
      <c r="AN42" s="180"/>
      <c r="AO42" s="180"/>
      <c r="AP42" s="180"/>
    </row>
    <row r="43" spans="1:42" ht="24.75" customHeight="1">
      <c r="A43" s="3"/>
      <c r="B43" s="205"/>
      <c r="C43" s="209"/>
      <c r="D43" s="14" t="s">
        <v>280</v>
      </c>
      <c r="E43" s="9" t="str">
        <f>IF(COUNTIFS('3. 5기 수입지출장부'!$B$5:$B$2007,$C42,'3. 5기 수입지출장부'!$A$5:$A$2007,"&gt;="&amp;DATE(2026,E$5,1),'3. 5기 수입지출장부'!$A$5:$A$2007,"&lt;"&amp;DATE(2026,E$5+1,1),'3. 5기 수입지출장부'!$E$5:$E$2007,"&gt;0")&gt;0,"■","")</f>
        <v/>
      </c>
      <c r="F43" s="14" t="str">
        <f>IF(COUNTIFS('3. 5기 수입지출장부'!$B$5:$B$2007,$C42,'3. 5기 수입지출장부'!$A$5:$A$2007,"&gt;="&amp;DATE(2026,F$5,1),'3. 5기 수입지출장부'!$A$5:$A$2007,"&lt;"&amp;DATE(2026,F$5+1,1),'3. 5기 수입지출장부'!$E$5:$E$2007,"&gt;0")&gt;0,"■","")</f>
        <v>■</v>
      </c>
      <c r="G43" s="14" t="str">
        <f>IF(COUNTIFS('3. 5기 수입지출장부'!$B$5:$B$2007,$C42,'3. 5기 수입지출장부'!$A$5:$A$2007,"&gt;="&amp;DATE(2026,G$5,1),'3. 5기 수입지출장부'!$A$5:$A$2007,"&lt;"&amp;DATE(2026,G$5+1,1),'3. 5기 수입지출장부'!$E$5:$E$2007,"&gt;0")&gt;0,"■","")</f>
        <v/>
      </c>
      <c r="H43" s="14" t="str">
        <f>IF(COUNTIFS('3. 5기 수입지출장부'!$B$5:$B$2007,$C42,'3. 5기 수입지출장부'!$A$5:$A$2007,"&gt;="&amp;DATE(2026,H$5,1),'3. 5기 수입지출장부'!$A$5:$A$2007,"&lt;"&amp;DATE(2026,H$5+1,1),'3. 5기 수입지출장부'!$E$5:$E$2007,"&gt;0")&gt;0,"■","")</f>
        <v/>
      </c>
      <c r="I43" s="14" t="str">
        <f>IF(COUNTIFS('3. 5기 수입지출장부'!$B$5:$B$2007,$C42,'3. 5기 수입지출장부'!$A$5:$A$2007,"&gt;="&amp;DATE(2026,I$5,1),'3. 5기 수입지출장부'!$A$5:$A$2007,"&lt;"&amp;DATE(2026,I$5+1,1),'3. 5기 수입지출장부'!$E$5:$E$2007,"&gt;0")&gt;0,"■","")</f>
        <v/>
      </c>
      <c r="J43" s="14" t="str">
        <f>IF(COUNTIFS('3. 5기 수입지출장부'!$B$5:$B$2007,$C42,'3. 5기 수입지출장부'!$A$5:$A$2007,"&gt;="&amp;DATE(2026,J$5,1),'3. 5기 수입지출장부'!$A$5:$A$2007,"&lt;"&amp;DATE(2026,J$5+1,1),'3. 5기 수입지출장부'!$E$5:$E$2007,"&gt;0")&gt;0,"■","")</f>
        <v/>
      </c>
      <c r="K43" s="14" t="str">
        <f>IF(COUNTIFS('3. 5기 수입지출장부'!$B$5:$B$2007,$C42,'3. 5기 수입지출장부'!$A$5:$A$2007,"&gt;="&amp;DATE(2026,K$5,1),'3. 5기 수입지출장부'!$A$5:$A$2007,"&lt;"&amp;DATE(2026,K$5+1,1),'3. 5기 수입지출장부'!$E$5:$E$2007,"&gt;0")&gt;0,"■","")</f>
        <v/>
      </c>
      <c r="L43" s="14" t="str">
        <f>IF(COUNTIFS('3. 5기 수입지출장부'!$B$5:$B$2007,$C42,'3. 5기 수입지출장부'!$A$5:$A$2007,"&gt;="&amp;DATE(2026,L$5,1),'3. 5기 수입지출장부'!$A$5:$A$2007,"&lt;"&amp;DATE(2026,L$5+1,1),'3. 5기 수입지출장부'!$E$5:$E$2007,"&gt;0")&gt;0,"■","")</f>
        <v/>
      </c>
      <c r="M43" s="14" t="str">
        <f>IF(COUNTIFS('3. 5기 수입지출장부'!$B$5:$B$2007,$C42,'3. 5기 수입지출장부'!$A$5:$A$2007,"&gt;="&amp;DATE(2026,M$5,1),'3. 5기 수입지출장부'!$A$5:$A$2007,"&lt;"&amp;DATE(2026,M$5+1,1),'3. 5기 수입지출장부'!$E$5:$E$2007,"&gt;0")&gt;0,"■","")</f>
        <v/>
      </c>
      <c r="N43" s="14" t="str">
        <f>IF(COUNTIFS('3. 5기 수입지출장부'!$B$5:$B$2007,$C42,'3. 5기 수입지출장부'!$A$5:$A$2007,"&gt;="&amp;DATE(2026,N$5,1),'3. 5기 수입지출장부'!$A$5:$A$2007,"&lt;"&amp;DATE(2026,N$5+1,1),'3. 5기 수입지출장부'!$E$5:$E$2007,"&gt;0")&gt;0,"■","")</f>
        <v/>
      </c>
      <c r="O43" s="14" t="str">
        <f>IF(COUNTIFS('3. 5기 수입지출장부'!$B$5:$B$2007,$C42,'3. 5기 수입지출장부'!$A$5:$A$2007,"&gt;="&amp;DATE(2026,O$5,1),'3. 5기 수입지출장부'!$A$5:$A$2007,"&lt;"&amp;DATE(2026,O$5+1,1),'3. 5기 수입지출장부'!$E$5:$E$2007,"&gt;0")&gt;0,"■","")</f>
        <v/>
      </c>
      <c r="P43" s="14" t="str">
        <f>IF(COUNTIFS('3. 5기 수입지출장부'!$B$5:$B$2007,$C42,'3. 5기 수입지출장부'!$A$5:$A$2007,"&gt;="&amp;DATE(2026,P$5,1),'3. 5기 수입지출장부'!$A$5:$A$2007,"&lt;"&amp;DATE(2026,P$5+1,1),'3. 5기 수입지출장부'!$E$5:$E$2007,"&gt;0")&gt;0,"■","")</f>
        <v/>
      </c>
      <c r="Q43" s="198"/>
      <c r="R43" s="199"/>
      <c r="S43" s="196"/>
      <c r="T43" s="190"/>
      <c r="U43" s="3"/>
      <c r="V43" s="3"/>
      <c r="W43" s="3"/>
      <c r="X43" s="192"/>
      <c r="Y43" s="17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88"/>
      <c r="AN43" s="180"/>
      <c r="AO43" s="185"/>
      <c r="AP43" s="179"/>
    </row>
    <row r="44" spans="1:42" ht="24.75" customHeight="1">
      <c r="A44" s="3"/>
      <c r="B44" s="218">
        <v>20</v>
      </c>
      <c r="C44" s="208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83">
        <f>'2. 5기_예산목간'!D57</f>
        <v>5330291</v>
      </c>
      <c r="R44" s="184"/>
      <c r="S44" s="200">
        <f>Q45/Q44</f>
        <v>0</v>
      </c>
      <c r="T44" s="195" t="s">
        <v>283</v>
      </c>
      <c r="U44" s="3"/>
      <c r="V44" s="3"/>
      <c r="W44" s="3"/>
      <c r="X44" s="180"/>
      <c r="Y44" s="180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1"/>
      <c r="AN44" s="180"/>
      <c r="AO44" s="180"/>
      <c r="AP44" s="180"/>
    </row>
    <row r="45" spans="1:42" ht="24.75" customHeight="1">
      <c r="A45" s="3"/>
      <c r="B45" s="205"/>
      <c r="C45" s="209"/>
      <c r="D45" s="14" t="s">
        <v>280</v>
      </c>
      <c r="E45" s="14" t="str">
        <f>IF(COUNTIFS('3. 5기 수입지출장부'!$C$5:$C$2007,$C44,'3. 5기 수입지출장부'!$A$5:$A$2007,"&gt;="&amp;DATE(2026,E$5,1),'3. 5기 수입지출장부'!$A$5:$A$2007,"&lt;"&amp;DATE(2026,E$5+1,1),'3. 5기 수입지출장부'!$E$5:$E$2007,"&gt;0")&gt;0,"■","")</f>
        <v/>
      </c>
      <c r="F45" s="9" t="str">
        <f>IF(COUNTIFS('3. 5기 수입지출장부'!$C$5:$C$2007,$C44,'3. 5기 수입지출장부'!$A$5:$A$2007,"&gt;="&amp;DATE(2026,F$5,1),'3. 5기 수입지출장부'!$A$5:$A$2007,"&lt;"&amp;DATE(2026,F$5+1,1),'3. 5기 수입지출장부'!$E$5:$E$2007,"&gt;0")&gt;0,"■","")</f>
        <v/>
      </c>
      <c r="G45" s="9" t="str">
        <f>IF(COUNTIFS('3. 5기 수입지출장부'!$C$5:$C$2007,$C44,'3. 5기 수입지출장부'!$A$5:$A$2007,"&gt;="&amp;DATE(2026,G$5,1),'3. 5기 수입지출장부'!$A$5:$A$2007,"&lt;"&amp;DATE(2026,G$5+1,1),'3. 5기 수입지출장부'!$E$5:$E$2007,"&gt;0")&gt;0,"■","")</f>
        <v/>
      </c>
      <c r="H45" s="9" t="str">
        <f>IF(COUNTIFS('3. 5기 수입지출장부'!$C$5:$C$2007,$C44,'3. 5기 수입지출장부'!$A$5:$A$2007,"&gt;="&amp;DATE(2026,H$5,1),'3. 5기 수입지출장부'!$A$5:$A$2007,"&lt;"&amp;DATE(2026,H$5+1,1),'3. 5기 수입지출장부'!$E$5:$E$2007,"&gt;0")&gt;0,"■","")</f>
        <v/>
      </c>
      <c r="I45" s="9" t="str">
        <f>IF(COUNTIFS('3. 5기 수입지출장부'!$C$5:$C$2007,$C44,'3. 5기 수입지출장부'!$A$5:$A$2007,"&gt;="&amp;DATE(2026,I$5,1),'3. 5기 수입지출장부'!$A$5:$A$2007,"&lt;"&amp;DATE(2026,I$5+1,1),'3. 5기 수입지출장부'!$E$5:$E$2007,"&gt;0")&gt;0,"■","")</f>
        <v/>
      </c>
      <c r="J45" s="9" t="str">
        <f>IF(COUNTIFS('3. 5기 수입지출장부'!$C$5:$C$2007,$C44,'3. 5기 수입지출장부'!$A$5:$A$2007,"&gt;="&amp;DATE(2026,J$5,1),'3. 5기 수입지출장부'!$A$5:$A$2007,"&lt;"&amp;DATE(2026,J$5+1,1),'3. 5기 수입지출장부'!$E$5:$E$2007,"&gt;0")&gt;0,"■","")</f>
        <v/>
      </c>
      <c r="K45" s="9" t="str">
        <f>IF(COUNTIFS('3. 5기 수입지출장부'!$C$5:$C$2007,$C44,'3. 5기 수입지출장부'!$A$5:$A$2007,"&gt;="&amp;DATE(2026,K$5,1),'3. 5기 수입지출장부'!$A$5:$A$2007,"&lt;"&amp;DATE(2026,K$5+1,1),'3. 5기 수입지출장부'!$E$5:$E$2007,"&gt;0")&gt;0,"■","")</f>
        <v/>
      </c>
      <c r="L45" s="9" t="str">
        <f>IF(COUNTIFS('3. 5기 수입지출장부'!$C$5:$C$2007,$C44,'3. 5기 수입지출장부'!$A$5:$A$2007,"&gt;="&amp;DATE(2026,L$5,1),'3. 5기 수입지출장부'!$A$5:$A$2007,"&lt;"&amp;DATE(2026,L$5+1,1),'3. 5기 수입지출장부'!$E$5:$E$2007,"&gt;0")&gt;0,"■","")</f>
        <v/>
      </c>
      <c r="M45" s="9" t="str">
        <f>IF(COUNTIFS('3. 5기 수입지출장부'!$C$5:$C$2007,$C44,'3. 5기 수입지출장부'!$A$5:$A$2007,"&gt;="&amp;DATE(2026,M$5,1),'3. 5기 수입지출장부'!$A$5:$A$2007,"&lt;"&amp;DATE(2026,M$5+1,1),'3. 5기 수입지출장부'!$E$5:$E$2007,"&gt;0")&gt;0,"■","")</f>
        <v/>
      </c>
      <c r="N45" s="9" t="str">
        <f>IF(COUNTIFS('3. 5기 수입지출장부'!$C$5:$C$2007,$C44,'3. 5기 수입지출장부'!$A$5:$A$2007,"&gt;="&amp;DATE(2026,N$5,1),'3. 5기 수입지출장부'!$A$5:$A$2007,"&lt;"&amp;DATE(2026,N$5+1,1),'3. 5기 수입지출장부'!$E$5:$E$2007,"&gt;0")&gt;0,"■","")</f>
        <v/>
      </c>
      <c r="O45" s="9" t="str">
        <f>IF(COUNTIFS('3. 5기 수입지출장부'!$C$5:$C$2007,$C44,'3. 5기 수입지출장부'!$A$5:$A$2007,"&gt;="&amp;DATE(2026,O$5,1),'3. 5기 수입지출장부'!$A$5:$A$2007,"&lt;"&amp;DATE(2026,O$5+1,1),'3. 5기 수입지출장부'!$E$5:$E$2007,"&gt;0")&gt;0,"■","")</f>
        <v/>
      </c>
      <c r="P45" s="9" t="str">
        <f>IF(COUNTIFS('3. 5기 수입지출장부'!$C$5:$C$2007,$C44,'3. 5기 수입지출장부'!$A$5:$A$2007,"&gt;="&amp;DATE(2026,P$5,1),'3. 5기 수입지출장부'!$A$5:$A$2007,"&lt;"&amp;DATE(2026,P$5+1,1),'3. 5기 수입지출장부'!$E$5:$E$2007,"&gt;0")&gt;0,"■","")</f>
        <v/>
      </c>
      <c r="Q45" s="206">
        <v>0</v>
      </c>
      <c r="R45" s="207"/>
      <c r="S45" s="196"/>
      <c r="T45" s="196"/>
      <c r="U45" s="3"/>
      <c r="V45" s="3"/>
      <c r="W45" s="13"/>
      <c r="X45" s="192"/>
      <c r="Y45" s="17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88"/>
      <c r="AN45" s="180"/>
      <c r="AO45" s="185"/>
      <c r="AP45" s="179"/>
    </row>
    <row r="46" spans="1:42" ht="24.75" customHeight="1">
      <c r="A46" s="3"/>
      <c r="B46" s="204">
        <v>21</v>
      </c>
      <c r="C46" s="208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83">
        <f>'2. 5기_예산목간'!D55</f>
        <v>10000000</v>
      </c>
      <c r="R46" s="184"/>
      <c r="S46" s="200">
        <v>0</v>
      </c>
      <c r="T46" s="195" t="s">
        <v>283</v>
      </c>
      <c r="U46" s="3"/>
      <c r="V46" s="3"/>
      <c r="W46" s="3"/>
      <c r="X46" s="180"/>
      <c r="Y46" s="180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1"/>
      <c r="AN46" s="180"/>
      <c r="AO46" s="180"/>
      <c r="AP46" s="180"/>
    </row>
    <row r="47" spans="1:42" ht="24.75" customHeight="1">
      <c r="A47" s="3"/>
      <c r="B47" s="205"/>
      <c r="C47" s="209"/>
      <c r="D47" s="14" t="s">
        <v>280</v>
      </c>
      <c r="E47" s="14" t="str">
        <f>IF(COUNTIFS('3. 5기 수입지출장부'!$C$5:$C$2007,$C46,'3. 5기 수입지출장부'!$A$5:$A$2007,"&gt;="&amp;DATE(2026,E$5,1),'3. 5기 수입지출장부'!$A$5:$A$2007,"&lt;"&amp;DATE(2026,E$5+1,1),'3. 5기 수입지출장부'!$E$5:$E$2007,"&gt;0")&gt;0,"■","")</f>
        <v/>
      </c>
      <c r="F47" s="5" t="str">
        <f>IF(COUNTIFS('3. 5기 수입지출장부'!$C$5:$C$2007,$C46,'3. 5기 수입지출장부'!$A$5:$A$2007,"&gt;="&amp;DATE(2026,F$5,1),'3. 5기 수입지출장부'!$A$5:$A$2007,"&lt;"&amp;DATE(2026,F$5+1,1),'3. 5기 수입지출장부'!$E$5:$E$2007,"&gt;0")&gt;0,"■","")</f>
        <v/>
      </c>
      <c r="G47" s="5" t="str">
        <f>IF(COUNTIFS('3. 5기 수입지출장부'!$C$5:$C$2007,$C46,'3. 5기 수입지출장부'!$A$5:$A$2007,"&gt;="&amp;DATE(2026,G$5,1),'3. 5기 수입지출장부'!$A$5:$A$2007,"&lt;"&amp;DATE(2026,G$5+1,1),'3. 5기 수입지출장부'!$E$5:$E$2007,"&gt;0")&gt;0,"■","")</f>
        <v/>
      </c>
      <c r="H47" s="14" t="str">
        <f>IF(COUNTIFS('3. 5기 수입지출장부'!$C$5:$C$2007,$C46,'3. 5기 수입지출장부'!$A$5:$A$2007,"&gt;="&amp;DATE(2026,H$5,1),'3. 5기 수입지출장부'!$A$5:$A$2007,"&lt;"&amp;DATE(2026,H$5+1,1),'3. 5기 수입지출장부'!$E$5:$E$2007,"&gt;0")&gt;0,"■","")</f>
        <v/>
      </c>
      <c r="I47" s="14" t="str">
        <f>IF(COUNTIFS('3. 5기 수입지출장부'!$C$5:$C$2007,$C46,'3. 5기 수입지출장부'!$A$5:$A$2007,"&gt;="&amp;DATE(2026,I$5,1),'3. 5기 수입지출장부'!$A$5:$A$2007,"&lt;"&amp;DATE(2026,I$5+1,1),'3. 5기 수입지출장부'!$E$5:$E$2007,"&gt;0")&gt;0,"■","")</f>
        <v/>
      </c>
      <c r="J47" s="5" t="str">
        <f>IF(COUNTIFS('3. 5기 수입지출장부'!$C$5:$C$2007,$C46,'3. 5기 수입지출장부'!$A$5:$A$2007,"&gt;="&amp;DATE(2026,J$5,1),'3. 5기 수입지출장부'!$A$5:$A$2007,"&lt;"&amp;DATE(2026,J$5+1,1),'3. 5기 수입지출장부'!$E$5:$E$2007,"&gt;0")&gt;0,"■","")</f>
        <v/>
      </c>
      <c r="K47" s="5" t="str">
        <f>IF(COUNTIFS('3. 5기 수입지출장부'!$C$5:$C$2007,$C46,'3. 5기 수입지출장부'!$A$5:$A$2007,"&gt;="&amp;DATE(2026,K$5,1),'3. 5기 수입지출장부'!$A$5:$A$2007,"&lt;"&amp;DATE(2026,K$5+1,1),'3. 5기 수입지출장부'!$E$5:$E$2007,"&gt;0")&gt;0,"■","")</f>
        <v/>
      </c>
      <c r="L47" s="5" t="str">
        <f>IF(COUNTIFS('3. 5기 수입지출장부'!$C$5:$C$2007,$C46,'3. 5기 수입지출장부'!$A$5:$A$2007,"&gt;="&amp;DATE(2026,L$5,1),'3. 5기 수입지출장부'!$A$5:$A$2007,"&lt;"&amp;DATE(2026,L$5+1,1),'3. 5기 수입지출장부'!$E$5:$E$2007,"&gt;0")&gt;0,"■","")</f>
        <v/>
      </c>
      <c r="M47" s="5" t="str">
        <f>IF(COUNTIFS('3. 5기 수입지출장부'!$C$5:$C$2007,$C46,'3. 5기 수입지출장부'!$A$5:$A$2007,"&gt;="&amp;DATE(2026,M$5,1),'3. 5기 수입지출장부'!$A$5:$A$2007,"&lt;"&amp;DATE(2026,M$5+1,1),'3. 5기 수입지출장부'!$E$5:$E$2007,"&gt;0")&gt;0,"■","")</f>
        <v/>
      </c>
      <c r="N47" s="5" t="str">
        <f>IF(COUNTIFS('3. 5기 수입지출장부'!$C$5:$C$2007,$C46,'3. 5기 수입지출장부'!$A$5:$A$2007,"&gt;="&amp;DATE(2026,N$5,1),'3. 5기 수입지출장부'!$A$5:$A$2007,"&lt;"&amp;DATE(2026,N$5+1,1),'3. 5기 수입지출장부'!$E$5:$E$2007,"&gt;0")&gt;0,"■","")</f>
        <v/>
      </c>
      <c r="O47" s="14" t="str">
        <f>IF(COUNTIFS('3. 5기 수입지출장부'!$C$5:$C$2007,$C46,'3. 5기 수입지출장부'!$A$5:$A$2007,"&gt;="&amp;DATE(2026,O$5,1),'3. 5기 수입지출장부'!$A$5:$A$2007,"&lt;"&amp;DATE(2026,O$5+1,1),'3. 5기 수입지출장부'!$E$5:$E$2007,"&gt;0")&gt;0,"■","")</f>
        <v/>
      </c>
      <c r="P47" s="14" t="str">
        <f>IF(COUNTIFS('3. 5기 수입지출장부'!$C$5:$C$2007,$C46,'3. 5기 수입지출장부'!$A$5:$A$2007,"&gt;="&amp;DATE(2026,P$5,1),'3. 5기 수입지출장부'!$A$5:$A$2007,"&lt;"&amp;DATE(2026,P$5+1,1),'3. 5기 수입지출장부'!$E$5:$E$2007,"&gt;0")&gt;0,"■","")</f>
        <v/>
      </c>
      <c r="Q47" s="216"/>
      <c r="R47" s="217"/>
      <c r="S47" s="196"/>
      <c r="T47" s="196"/>
      <c r="U47" s="3"/>
      <c r="V47" s="13"/>
      <c r="W47" s="3"/>
      <c r="X47" s="192"/>
      <c r="Y47" s="17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88"/>
      <c r="AN47" s="180"/>
      <c r="AO47" s="185"/>
      <c r="AP47" s="179"/>
    </row>
    <row r="48" spans="1:42" ht="27" customHeight="1">
      <c r="A48" s="3"/>
      <c r="B48" s="234" t="s">
        <v>294</v>
      </c>
      <c r="C48" s="235"/>
      <c r="D48" s="227" t="s">
        <v>295</v>
      </c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1"/>
      <c r="Q48" s="220">
        <f>SUM(Q6,Q8,Q10,Q12,Q14,Q16,Q18,Q20,Q22,Q24,Q26,Q28,Q30,Q32,Q34,Q36,Q38,Q40,Q42,Q44,Q46)</f>
        <v>43098091</v>
      </c>
      <c r="R48" s="221"/>
      <c r="S48" s="239">
        <f>Q49/Q48</f>
        <v>0.2028781274790106</v>
      </c>
      <c r="T48" s="229"/>
      <c r="U48" s="3"/>
      <c r="V48" s="13"/>
      <c r="W48" s="13"/>
      <c r="X48" s="180"/>
      <c r="Y48" s="180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1"/>
      <c r="AN48" s="180"/>
      <c r="AO48" s="180"/>
      <c r="AP48" s="180"/>
    </row>
    <row r="49" spans="1:42" ht="27" customHeight="1">
      <c r="A49" s="3"/>
      <c r="B49" s="236"/>
      <c r="C49" s="237"/>
      <c r="D49" s="224" t="s">
        <v>296</v>
      </c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6"/>
      <c r="Q49" s="240">
        <f>SUM(Q7,Q9,Q11,Q15,Q17,Q19,Q21,Q23,Q25,Q27,Q29,Q31,Q33,Q35,Q37,Q39,Q41,Q43,Q45,Q47)</f>
        <v>8743660</v>
      </c>
      <c r="R49" s="226"/>
      <c r="S49" s="230"/>
      <c r="T49" s="230"/>
      <c r="U49" s="3"/>
      <c r="V49" s="3"/>
      <c r="W49" s="13"/>
      <c r="X49" s="192"/>
      <c r="Y49" s="17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88"/>
      <c r="AN49" s="180"/>
      <c r="AO49" s="185"/>
      <c r="AP49" s="179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0"/>
      <c r="Y50" s="180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1"/>
      <c r="AN50" s="180"/>
      <c r="AO50" s="180"/>
      <c r="AP50" s="180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92"/>
      <c r="Y51" s="17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88"/>
      <c r="AN51" s="180"/>
      <c r="AO51" s="185"/>
      <c r="AP51" s="179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0"/>
      <c r="Y52" s="180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1"/>
      <c r="AN52" s="180"/>
      <c r="AO52" s="180"/>
      <c r="AP52" s="180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192"/>
      <c r="Y53" s="17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88"/>
      <c r="AN53" s="180"/>
      <c r="AO53" s="185"/>
      <c r="AP53" s="179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0"/>
      <c r="Y54" s="180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1"/>
      <c r="AN54" s="180"/>
      <c r="AO54" s="180"/>
      <c r="AP54" s="180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92"/>
      <c r="Y55" s="17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1"/>
      <c r="AN55" s="180"/>
      <c r="AO55" s="185"/>
      <c r="AP55" s="179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0"/>
      <c r="Y56" s="180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1"/>
      <c r="AN56" s="180"/>
      <c r="AO56" s="180"/>
      <c r="AP56" s="180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79"/>
      <c r="Y57" s="180"/>
      <c r="Z57" s="179"/>
      <c r="AA57" s="180"/>
      <c r="AB57" s="180"/>
      <c r="AC57" s="180"/>
      <c r="AD57" s="180"/>
      <c r="AE57" s="180"/>
      <c r="AF57" s="180"/>
      <c r="AG57" s="180"/>
      <c r="AH57" s="180"/>
      <c r="AI57" s="180"/>
      <c r="AJ57" s="180"/>
      <c r="AK57" s="180"/>
      <c r="AL57" s="180"/>
      <c r="AM57" s="188"/>
      <c r="AN57" s="180"/>
      <c r="AO57" s="185"/>
      <c r="AP57" s="179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0"/>
      <c r="Y58" s="180"/>
      <c r="Z58" s="179"/>
      <c r="AA58" s="180"/>
      <c r="AB58" s="180"/>
      <c r="AC58" s="180"/>
      <c r="AD58" s="180"/>
      <c r="AE58" s="180"/>
      <c r="AF58" s="180"/>
      <c r="AG58" s="180"/>
      <c r="AH58" s="180"/>
      <c r="AI58" s="180"/>
      <c r="AJ58" s="180"/>
      <c r="AK58" s="180"/>
      <c r="AL58" s="180"/>
      <c r="AM58" s="191"/>
      <c r="AN58" s="180"/>
      <c r="AO58" s="180"/>
      <c r="AP58" s="180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7" customWidth="1"/>
    <col min="2" max="5" width="16.28515625" style="157" customWidth="1"/>
    <col min="6" max="6" width="66.85546875" style="157" customWidth="1"/>
    <col min="7" max="8" width="9" style="157" customWidth="1"/>
    <col min="9" max="9" width="12.5703125" style="157" customWidth="1"/>
    <col min="10" max="10" width="10.7109375" style="157" customWidth="1"/>
    <col min="11" max="11" width="11.42578125" style="157" customWidth="1"/>
    <col min="12" max="26" width="8.7109375" style="157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63" t="s">
        <v>298</v>
      </c>
      <c r="B5" s="261"/>
      <c r="C5" s="255"/>
      <c r="D5" s="263" t="s">
        <v>299</v>
      </c>
      <c r="E5" s="255"/>
      <c r="F5" s="263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20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5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59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59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59"/>
      <c r="B10" s="254" t="s">
        <v>311</v>
      </c>
      <c r="C10" s="255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59"/>
      <c r="B11" s="258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59"/>
      <c r="B12" s="259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59"/>
      <c r="B13" s="259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59"/>
      <c r="B14" s="209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59"/>
      <c r="B15" s="258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209"/>
      <c r="B16" s="209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62" t="s">
        <v>315</v>
      </c>
      <c r="B17" s="261"/>
      <c r="C17" s="255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63" t="s">
        <v>298</v>
      </c>
      <c r="B21" s="261"/>
      <c r="C21" s="255"/>
      <c r="D21" s="264" t="s">
        <v>317</v>
      </c>
      <c r="E21" s="255"/>
      <c r="F21" s="263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20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56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209"/>
      <c r="B24" s="262" t="s">
        <v>319</v>
      </c>
      <c r="C24" s="255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56" t="s">
        <v>265</v>
      </c>
      <c r="B25" s="258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59"/>
      <c r="B26" s="209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59"/>
      <c r="B27" s="258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59"/>
      <c r="B28" s="259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59"/>
      <c r="B29" s="259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57"/>
      <c r="H29" s="180"/>
      <c r="I29" s="180"/>
      <c r="J29" s="180"/>
      <c r="K29" s="180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59"/>
      <c r="B30" s="259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57"/>
      <c r="H30" s="180"/>
      <c r="I30" s="180"/>
      <c r="J30" s="180"/>
      <c r="K30" s="180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59"/>
      <c r="B31" s="259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59"/>
      <c r="B32" s="259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59"/>
      <c r="B33" s="209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59"/>
      <c r="B34" s="258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209"/>
      <c r="B35" s="209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62" t="s">
        <v>326</v>
      </c>
      <c r="B36" s="261"/>
      <c r="C36" s="255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56" t="s">
        <v>269</v>
      </c>
      <c r="B37" s="258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59"/>
      <c r="B38" s="209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59"/>
      <c r="B39" s="258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59"/>
      <c r="B40" s="259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59"/>
      <c r="B41" s="259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59"/>
      <c r="B42" s="259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59"/>
      <c r="B43" s="259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59"/>
      <c r="B44" s="209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59"/>
      <c r="B45" s="258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59"/>
      <c r="B46" s="209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59"/>
      <c r="B47" s="258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59"/>
      <c r="B48" s="209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59"/>
      <c r="B49" s="258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59"/>
      <c r="B50" s="259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209"/>
      <c r="B51" s="209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62" t="s">
        <v>337</v>
      </c>
      <c r="B52" s="261"/>
      <c r="C52" s="255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62" t="s">
        <v>338</v>
      </c>
      <c r="B54" s="261"/>
      <c r="C54" s="255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62" t="s">
        <v>340</v>
      </c>
      <c r="C56" s="255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62" t="s">
        <v>339</v>
      </c>
      <c r="B58" s="261"/>
      <c r="C58" s="255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0" t="s">
        <v>341</v>
      </c>
      <c r="B59" s="261"/>
      <c r="C59" s="255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  <mergeCell ref="A59:C59"/>
    <mergeCell ref="B45:B46"/>
    <mergeCell ref="B24:C24"/>
    <mergeCell ref="A36:C36"/>
    <mergeCell ref="A58:C58"/>
    <mergeCell ref="A54:C54"/>
    <mergeCell ref="B49:B51"/>
    <mergeCell ref="B47:B48"/>
    <mergeCell ref="B10:C10"/>
    <mergeCell ref="A23:A24"/>
    <mergeCell ref="G29:K29"/>
    <mergeCell ref="B25:B26"/>
    <mergeCell ref="B27:B33"/>
    <mergeCell ref="G30:K30"/>
    <mergeCell ref="A25:A35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5"/>
  <sheetViews>
    <sheetView tabSelected="1" topLeftCell="A147" workbookViewId="0">
      <selection activeCell="I176" sqref="I176"/>
    </sheetView>
  </sheetViews>
  <sheetFormatPr defaultColWidth="14.42578125" defaultRowHeight="15"/>
  <cols>
    <col min="1" max="1" width="17.5703125" style="157" customWidth="1"/>
    <col min="2" max="2" width="18.140625" style="157" customWidth="1"/>
    <col min="3" max="3" width="17.5703125" style="157" customWidth="1"/>
    <col min="4" max="4" width="15.140625" style="157" customWidth="1"/>
    <col min="5" max="5" width="17.5703125" style="157" customWidth="1"/>
    <col min="6" max="7" width="13.85546875" style="157" customWidth="1"/>
    <col min="8" max="8" width="65.140625" style="157" customWidth="1"/>
    <col min="9" max="9" width="14.140625" style="157" customWidth="1"/>
    <col min="10" max="10" width="10.85546875" style="157" customWidth="1"/>
    <col min="11" max="11" width="14" style="157" customWidth="1"/>
    <col min="12" max="12" width="19.42578125" style="157" customWidth="1"/>
    <col min="13" max="13" width="15.42578125" style="157" customWidth="1"/>
    <col min="14" max="14" width="9.28515625" style="157" customWidth="1"/>
    <col min="15" max="15" width="8.7109375" style="157" customWidth="1"/>
    <col min="16" max="16" width="33.85546875" style="157" customWidth="1"/>
    <col min="17" max="26" width="8.7109375" style="157" customWidth="1"/>
  </cols>
  <sheetData>
    <row r="1" spans="1:14" ht="16.5" customHeight="1">
      <c r="A1" s="267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</row>
    <row r="2" spans="1:14" ht="16.5" customHeigh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4" t="s">
        <v>1</v>
      </c>
      <c r="B4" s="155" t="s">
        <v>2</v>
      </c>
      <c r="C4" s="155" t="s">
        <v>3</v>
      </c>
      <c r="D4" s="156" t="s">
        <v>4</v>
      </c>
      <c r="E4" s="156" t="s">
        <v>5</v>
      </c>
      <c r="F4" s="156" t="s">
        <v>6</v>
      </c>
      <c r="G4" s="156" t="s">
        <v>7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6" t="s">
        <v>13</v>
      </c>
      <c r="N4" s="78" t="s">
        <v>14</v>
      </c>
    </row>
    <row r="5" spans="1:14" ht="16.5" customHeight="1">
      <c r="A5" s="119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8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8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8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8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8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8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8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8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8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8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8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8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8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8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8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8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8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8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8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8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8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8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8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8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6" t="s">
        <v>76</v>
      </c>
    </row>
    <row r="30" spans="1:15" ht="16.5" customHeight="1">
      <c r="A30" s="118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0"/>
    </row>
    <row r="31" spans="1:15" ht="16.5" customHeight="1">
      <c r="A31" s="118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0"/>
    </row>
    <row r="32" spans="1:15" ht="16.5" customHeight="1">
      <c r="A32" s="118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0"/>
    </row>
    <row r="33" spans="1:16" ht="16.5" customHeight="1">
      <c r="A33" s="118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0"/>
    </row>
    <row r="34" spans="1:16" ht="16.5" customHeight="1">
      <c r="A34" s="118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0"/>
    </row>
    <row r="35" spans="1:16" ht="16.5" customHeight="1">
      <c r="A35" s="118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0"/>
    </row>
    <row r="36" spans="1:16" ht="16.5" customHeight="1">
      <c r="A36" s="118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0"/>
      <c r="P36" s="75"/>
    </row>
    <row r="37" spans="1:16" ht="16.5" customHeight="1">
      <c r="A37" s="118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0"/>
    </row>
    <row r="38" spans="1:16" ht="16.5" customHeight="1">
      <c r="A38" s="118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0"/>
    </row>
    <row r="39" spans="1:16" ht="16.5" customHeight="1">
      <c r="A39" s="118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0"/>
    </row>
    <row r="40" spans="1:16" ht="16.5" customHeight="1">
      <c r="A40" s="118">
        <v>46128</v>
      </c>
      <c r="B40" s="79" t="s">
        <v>55</v>
      </c>
      <c r="C40" s="79" t="s">
        <v>56</v>
      </c>
      <c r="D40" s="86"/>
      <c r="E40" s="122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0"/>
    </row>
    <row r="41" spans="1:16" ht="16.5" customHeight="1">
      <c r="A41" s="118">
        <v>46128</v>
      </c>
      <c r="B41" s="79" t="s">
        <v>55</v>
      </c>
      <c r="C41" s="79" t="s">
        <v>56</v>
      </c>
      <c r="D41" s="86"/>
      <c r="E41" s="122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0"/>
    </row>
    <row r="42" spans="1:16" ht="16.5" customHeight="1">
      <c r="A42" s="118">
        <v>46128</v>
      </c>
      <c r="B42" s="79" t="s">
        <v>55</v>
      </c>
      <c r="C42" s="79" t="s">
        <v>56</v>
      </c>
      <c r="D42" s="86"/>
      <c r="E42" s="122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0"/>
    </row>
    <row r="43" spans="1:16" ht="16.5" customHeight="1">
      <c r="A43" s="118">
        <v>46128</v>
      </c>
      <c r="B43" s="79" t="s">
        <v>55</v>
      </c>
      <c r="C43" s="79" t="s">
        <v>56</v>
      </c>
      <c r="D43" s="86"/>
      <c r="E43" s="122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0"/>
    </row>
    <row r="44" spans="1:16" ht="16.5" customHeight="1">
      <c r="A44" s="118">
        <v>46128</v>
      </c>
      <c r="B44" s="79" t="s">
        <v>55</v>
      </c>
      <c r="C44" s="79" t="s">
        <v>56</v>
      </c>
      <c r="D44" s="86"/>
      <c r="E44" s="122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0"/>
    </row>
    <row r="45" spans="1:16" ht="16.5" customHeight="1">
      <c r="A45" s="118">
        <v>46128</v>
      </c>
      <c r="B45" s="79" t="s">
        <v>55</v>
      </c>
      <c r="C45" s="79" t="s">
        <v>56</v>
      </c>
      <c r="D45" s="86"/>
      <c r="E45" s="122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0"/>
      <c r="P45" s="75"/>
    </row>
    <row r="46" spans="1:16" ht="16.5" customHeight="1">
      <c r="A46" s="118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0"/>
    </row>
    <row r="47" spans="1:16" ht="16.5" customHeight="1">
      <c r="A47" s="118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0"/>
    </row>
    <row r="48" spans="1:16" ht="16.5" customHeight="1">
      <c r="A48" s="118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0"/>
    </row>
    <row r="49" spans="1:15" ht="16.5" customHeight="1">
      <c r="A49" s="118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0"/>
    </row>
    <row r="50" spans="1:15" ht="16.5" customHeight="1">
      <c r="A50" s="118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8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8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9" t="s">
        <v>100</v>
      </c>
    </row>
    <row r="53" spans="1:15" ht="16.5" customHeight="1">
      <c r="A53" s="118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0"/>
    </row>
    <row r="54" spans="1:15" ht="16.5" customHeight="1">
      <c r="A54" s="118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0"/>
    </row>
    <row r="55" spans="1:15" ht="16.5" customHeight="1">
      <c r="A55" s="118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8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8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8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8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1" customFormat="1" ht="16.5" customHeight="1">
      <c r="A60" s="123">
        <v>46151</v>
      </c>
      <c r="B60" s="124" t="s">
        <v>55</v>
      </c>
      <c r="C60" s="124" t="s">
        <v>56</v>
      </c>
      <c r="D60" s="125"/>
      <c r="E60" s="125">
        <v>30000</v>
      </c>
      <c r="F60" s="125"/>
      <c r="G60" s="82">
        <f>G59+Table_1[[#This Row],[수입]]-Table_1[[#This Row],[지출]]</f>
        <v>24072751</v>
      </c>
      <c r="H60" s="126" t="s">
        <v>113</v>
      </c>
      <c r="I60" s="127" t="s">
        <v>114</v>
      </c>
      <c r="J60" s="124" t="s">
        <v>41</v>
      </c>
      <c r="K60" s="124" t="s">
        <v>42</v>
      </c>
      <c r="L60" s="127"/>
      <c r="M60" s="128"/>
      <c r="N60" s="129"/>
      <c r="O60" s="130"/>
    </row>
    <row r="61" spans="1:15" ht="16.5" customHeight="1">
      <c r="A61" s="118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8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8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8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8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8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8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8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8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8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8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8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8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8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8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8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8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8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8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8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8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8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8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8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8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8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8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8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8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2"/>
    </row>
    <row r="90" spans="1:16" ht="16.5" customHeight="1">
      <c r="A90" s="118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8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8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8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8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8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8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8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8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8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8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8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8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8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8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8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8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8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8">
        <v>46223</v>
      </c>
      <c r="B108" s="79" t="s">
        <v>48</v>
      </c>
      <c r="C108" s="79" t="s">
        <v>59</v>
      </c>
      <c r="D108" s="86"/>
      <c r="E108" s="132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8">
        <v>46223</v>
      </c>
      <c r="B109" s="79" t="s">
        <v>48</v>
      </c>
      <c r="C109" s="79" t="s">
        <v>59</v>
      </c>
      <c r="D109" s="86"/>
      <c r="E109" s="132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8">
        <v>46223</v>
      </c>
      <c r="B110" s="79" t="s">
        <v>48</v>
      </c>
      <c r="C110" s="79" t="s">
        <v>59</v>
      </c>
      <c r="D110" s="86"/>
      <c r="E110" s="132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3">
        <v>46225</v>
      </c>
      <c r="B111" s="79" t="s">
        <v>48</v>
      </c>
      <c r="C111" s="135" t="s">
        <v>59</v>
      </c>
      <c r="D111" s="136"/>
      <c r="E111" s="137">
        <v>24700</v>
      </c>
      <c r="F111" s="86"/>
      <c r="G111" s="82">
        <f>G110+Table_1[[#This Row],[수입]]-Table_1[[#This Row],[지출]]</f>
        <v>25677751</v>
      </c>
      <c r="H111" s="147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8">
        <v>46225</v>
      </c>
      <c r="B112" s="79" t="s">
        <v>48</v>
      </c>
      <c r="C112" s="139" t="s">
        <v>59</v>
      </c>
      <c r="D112" s="140"/>
      <c r="E112" s="141">
        <v>15600</v>
      </c>
      <c r="F112" s="86"/>
      <c r="G112" s="82">
        <f>G111+Table_1[[#This Row],[수입]]-Table_1[[#This Row],[지출]]</f>
        <v>25662151</v>
      </c>
      <c r="H112" s="148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8">
        <v>46226</v>
      </c>
      <c r="B113" s="79" t="s">
        <v>48</v>
      </c>
      <c r="C113" s="139" t="s">
        <v>59</v>
      </c>
      <c r="D113" s="142"/>
      <c r="E113" s="141">
        <v>8400</v>
      </c>
      <c r="F113" s="86"/>
      <c r="G113" s="82">
        <f>G112+Table_1[[#This Row],[수입]]-Table_1[[#This Row],[지출]]</f>
        <v>25653751</v>
      </c>
      <c r="H113" s="149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8">
        <v>46226</v>
      </c>
      <c r="B114" s="79" t="s">
        <v>48</v>
      </c>
      <c r="C114" s="139" t="s">
        <v>59</v>
      </c>
      <c r="D114" s="142"/>
      <c r="E114" s="141">
        <v>8400</v>
      </c>
      <c r="F114" s="86"/>
      <c r="G114" s="82">
        <f>G113+Table_1[[#This Row],[수입]]-Table_1[[#This Row],[지출]]</f>
        <v>25645351</v>
      </c>
      <c r="H114" s="149" t="s">
        <v>196</v>
      </c>
      <c r="I114" s="88" t="s">
        <v>197</v>
      </c>
      <c r="J114" s="134" t="s">
        <v>37</v>
      </c>
      <c r="K114" s="134" t="s">
        <v>24</v>
      </c>
      <c r="L114" s="88"/>
      <c r="M114" s="89"/>
      <c r="N114" s="77"/>
      <c r="O114" s="94"/>
    </row>
    <row r="115" spans="1:15" ht="16.5" customHeight="1">
      <c r="A115" s="138">
        <v>46227</v>
      </c>
      <c r="B115" s="79" t="s">
        <v>48</v>
      </c>
      <c r="C115" s="139" t="s">
        <v>59</v>
      </c>
      <c r="D115" s="142"/>
      <c r="E115" s="141">
        <v>9400</v>
      </c>
      <c r="F115" s="86"/>
      <c r="G115" s="82">
        <f>G114+Table_1[[#This Row],[수입]]-Table_1[[#This Row],[지출]]</f>
        <v>25635951</v>
      </c>
      <c r="H115" s="149" t="s">
        <v>198</v>
      </c>
      <c r="I115" s="151" t="s">
        <v>194</v>
      </c>
      <c r="J115" s="139" t="s">
        <v>41</v>
      </c>
      <c r="K115" s="139" t="s">
        <v>42</v>
      </c>
      <c r="L115" s="88"/>
      <c r="M115" s="89"/>
      <c r="N115" s="77"/>
      <c r="O115" s="94"/>
    </row>
    <row r="116" spans="1:15" ht="16.5" customHeight="1">
      <c r="A116" s="138">
        <v>46230</v>
      </c>
      <c r="B116" s="79" t="s">
        <v>4</v>
      </c>
      <c r="C116" s="139" t="s">
        <v>17</v>
      </c>
      <c r="D116" s="142">
        <v>1865000</v>
      </c>
      <c r="E116" s="141"/>
      <c r="F116" s="86"/>
      <c r="G116" s="82">
        <f>G115+Table_1[[#This Row],[수입]]-Table_1[[#This Row],[지출]]</f>
        <v>27500951</v>
      </c>
      <c r="H116" s="149" t="s">
        <v>199</v>
      </c>
      <c r="I116" s="151"/>
      <c r="J116" s="139"/>
      <c r="K116" s="139"/>
      <c r="L116" s="88"/>
      <c r="M116" s="89"/>
      <c r="N116" s="77"/>
      <c r="O116" s="94"/>
    </row>
    <row r="117" spans="1:15" ht="16.5" customHeight="1">
      <c r="A117" s="138">
        <v>46231</v>
      </c>
      <c r="B117" s="79" t="s">
        <v>48</v>
      </c>
      <c r="C117" s="139" t="s">
        <v>59</v>
      </c>
      <c r="D117" s="142"/>
      <c r="E117" s="141">
        <v>23200</v>
      </c>
      <c r="F117" s="86"/>
      <c r="G117" s="82">
        <f>G116+Table_1[[#This Row],[수입]]-Table_1[[#This Row],[지출]]</f>
        <v>27477751</v>
      </c>
      <c r="H117" s="149" t="s">
        <v>200</v>
      </c>
      <c r="I117" s="151" t="s">
        <v>194</v>
      </c>
      <c r="J117" s="139" t="s">
        <v>41</v>
      </c>
      <c r="K117" s="139" t="s">
        <v>42</v>
      </c>
      <c r="L117" s="88"/>
      <c r="M117" s="89"/>
      <c r="N117" s="77"/>
      <c r="O117" s="94"/>
    </row>
    <row r="118" spans="1:15" ht="16.5" customHeight="1">
      <c r="A118" s="143">
        <v>46231</v>
      </c>
      <c r="B118" s="79" t="s">
        <v>48</v>
      </c>
      <c r="C118" s="144" t="s">
        <v>59</v>
      </c>
      <c r="D118" s="145"/>
      <c r="E118" s="146">
        <v>114000</v>
      </c>
      <c r="F118" s="86"/>
      <c r="G118" s="82">
        <f>G117+Table_1[[#This Row],[수입]]-Table_1[[#This Row],[지출]]</f>
        <v>27363751</v>
      </c>
      <c r="H118" s="150" t="s">
        <v>201</v>
      </c>
      <c r="I118" s="151" t="s">
        <v>202</v>
      </c>
      <c r="J118" s="134" t="s">
        <v>23</v>
      </c>
      <c r="K118" s="134" t="s">
        <v>24</v>
      </c>
      <c r="L118" s="88"/>
      <c r="M118" s="89"/>
      <c r="N118" s="77"/>
      <c r="O118" s="94"/>
    </row>
    <row r="119" spans="1:15" ht="16.5" customHeight="1">
      <c r="A119" s="138">
        <v>46233</v>
      </c>
      <c r="B119" s="79" t="s">
        <v>48</v>
      </c>
      <c r="C119" s="139" t="s">
        <v>59</v>
      </c>
      <c r="D119" s="142"/>
      <c r="E119" s="141">
        <v>32700</v>
      </c>
      <c r="F119" s="86"/>
      <c r="G119" s="82">
        <f>G118+Table_1[[#This Row],[수입]]-Table_1[[#This Row],[지출]]</f>
        <v>27331051</v>
      </c>
      <c r="H119" s="149" t="s">
        <v>203</v>
      </c>
      <c r="I119" s="151" t="s">
        <v>204</v>
      </c>
      <c r="J119" s="139" t="s">
        <v>37</v>
      </c>
      <c r="K119" s="139" t="s">
        <v>24</v>
      </c>
      <c r="L119" s="88"/>
      <c r="M119" s="89"/>
      <c r="N119" s="77"/>
      <c r="O119" s="94"/>
    </row>
    <row r="120" spans="1:15" ht="16.5" customHeight="1">
      <c r="A120" s="138">
        <v>46238</v>
      </c>
      <c r="B120" s="79" t="s">
        <v>48</v>
      </c>
      <c r="C120" s="139" t="s">
        <v>59</v>
      </c>
      <c r="D120" s="142"/>
      <c r="E120" s="141">
        <v>14800</v>
      </c>
      <c r="F120" s="86"/>
      <c r="G120" s="82">
        <f>G119+Table_1[[#This Row],[수입]]-Table_1[[#This Row],[지출]]</f>
        <v>27316251</v>
      </c>
      <c r="H120" s="149" t="s">
        <v>205</v>
      </c>
      <c r="I120" s="151" t="s">
        <v>206</v>
      </c>
      <c r="J120" s="139" t="s">
        <v>41</v>
      </c>
      <c r="K120" s="139" t="s">
        <v>42</v>
      </c>
      <c r="L120" s="88"/>
      <c r="M120" s="89"/>
      <c r="N120" s="77"/>
      <c r="O120" s="94"/>
    </row>
    <row r="121" spans="1:15" ht="16.5" customHeight="1">
      <c r="A121" s="138">
        <v>46238</v>
      </c>
      <c r="B121" s="79" t="s">
        <v>48</v>
      </c>
      <c r="C121" s="139" t="s">
        <v>59</v>
      </c>
      <c r="D121" s="142"/>
      <c r="E121" s="141">
        <v>11900</v>
      </c>
      <c r="F121" s="86"/>
      <c r="G121" s="82">
        <f>G120+Table_1[[#This Row],[수입]]-Table_1[[#This Row],[지출]]</f>
        <v>27304351</v>
      </c>
      <c r="H121" s="149" t="s">
        <v>205</v>
      </c>
      <c r="I121" s="151" t="s">
        <v>206</v>
      </c>
      <c r="J121" s="139" t="s">
        <v>41</v>
      </c>
      <c r="K121" s="139" t="s">
        <v>42</v>
      </c>
      <c r="L121" s="88"/>
      <c r="M121" s="89"/>
      <c r="N121" s="77"/>
      <c r="O121" s="94"/>
    </row>
    <row r="122" spans="1:15" ht="16.5" customHeight="1">
      <c r="A122" s="138">
        <v>46239</v>
      </c>
      <c r="B122" s="79" t="s">
        <v>48</v>
      </c>
      <c r="C122" s="139" t="s">
        <v>59</v>
      </c>
      <c r="D122" s="142"/>
      <c r="E122" s="141">
        <v>47000</v>
      </c>
      <c r="F122" s="86"/>
      <c r="G122" s="82">
        <f>G121+Table_1[[#This Row],[수입]]-Table_1[[#This Row],[지출]]</f>
        <v>27257351</v>
      </c>
      <c r="H122" s="149" t="s">
        <v>207</v>
      </c>
      <c r="I122" s="151" t="s">
        <v>208</v>
      </c>
      <c r="J122" s="139" t="s">
        <v>41</v>
      </c>
      <c r="K122" s="139" t="s">
        <v>42</v>
      </c>
      <c r="L122" s="88"/>
      <c r="M122" s="89"/>
      <c r="N122" s="77"/>
      <c r="O122" s="94"/>
    </row>
    <row r="123" spans="1:15" ht="16.5" customHeight="1">
      <c r="A123" s="138">
        <v>46241</v>
      </c>
      <c r="B123" s="79" t="s">
        <v>48</v>
      </c>
      <c r="C123" s="139" t="s">
        <v>59</v>
      </c>
      <c r="D123" s="142"/>
      <c r="E123" s="141">
        <v>14100</v>
      </c>
      <c r="F123" s="86"/>
      <c r="G123" s="82">
        <f>G122+Table_1[[#This Row],[수입]]-Table_1[[#This Row],[지출]]</f>
        <v>27243251</v>
      </c>
      <c r="H123" s="149" t="s">
        <v>198</v>
      </c>
      <c r="I123" s="151" t="s">
        <v>209</v>
      </c>
      <c r="J123" s="139" t="s">
        <v>41</v>
      </c>
      <c r="K123" s="139" t="s">
        <v>42</v>
      </c>
      <c r="L123" s="88"/>
      <c r="M123" s="89"/>
      <c r="N123" s="77"/>
      <c r="O123" s="94"/>
    </row>
    <row r="124" spans="1:15" ht="16.5" customHeight="1">
      <c r="A124" s="138">
        <v>46245</v>
      </c>
      <c r="B124" s="79" t="s">
        <v>48</v>
      </c>
      <c r="C124" s="139" t="s">
        <v>59</v>
      </c>
      <c r="D124" s="142"/>
      <c r="E124" s="141">
        <v>21000</v>
      </c>
      <c r="F124" s="86"/>
      <c r="G124" s="82">
        <f>G123+Table_1[[#This Row],[수입]]-Table_1[[#This Row],[지출]]</f>
        <v>27222251</v>
      </c>
      <c r="H124" s="149" t="s">
        <v>210</v>
      </c>
      <c r="I124" s="151" t="s">
        <v>211</v>
      </c>
      <c r="J124" s="139" t="s">
        <v>23</v>
      </c>
      <c r="K124" s="139" t="s">
        <v>24</v>
      </c>
      <c r="L124" s="88"/>
      <c r="M124" s="89"/>
      <c r="N124" s="77"/>
      <c r="O124" s="94"/>
    </row>
    <row r="125" spans="1:15" ht="16.5" customHeight="1">
      <c r="A125" s="138">
        <v>46245</v>
      </c>
      <c r="B125" s="79" t="s">
        <v>48</v>
      </c>
      <c r="C125" s="139" t="s">
        <v>59</v>
      </c>
      <c r="D125" s="142"/>
      <c r="E125" s="141">
        <v>16680</v>
      </c>
      <c r="F125" s="86"/>
      <c r="G125" s="82">
        <f>G124+Table_1[[#This Row],[수입]]-Table_1[[#This Row],[지출]]</f>
        <v>27205571</v>
      </c>
      <c r="H125" s="149" t="s">
        <v>212</v>
      </c>
      <c r="I125" s="151" t="s">
        <v>211</v>
      </c>
      <c r="J125" s="139" t="s">
        <v>41</v>
      </c>
      <c r="K125" s="139" t="s">
        <v>42</v>
      </c>
      <c r="L125" s="88"/>
      <c r="M125" s="89"/>
      <c r="N125" s="77"/>
      <c r="O125" s="94"/>
    </row>
    <row r="126" spans="1:15" ht="16.5" customHeight="1">
      <c r="A126" s="138">
        <v>46246</v>
      </c>
      <c r="B126" s="79" t="s">
        <v>48</v>
      </c>
      <c r="C126" s="139" t="s">
        <v>59</v>
      </c>
      <c r="D126" s="142"/>
      <c r="E126" s="141">
        <v>8000</v>
      </c>
      <c r="F126" s="86"/>
      <c r="G126" s="82">
        <f>G125+Table_1[[#This Row],[수입]]-Table_1[[#This Row],[지출]]</f>
        <v>27197571</v>
      </c>
      <c r="H126" s="149" t="s">
        <v>213</v>
      </c>
      <c r="I126" s="151" t="s">
        <v>214</v>
      </c>
      <c r="J126" s="139" t="s">
        <v>41</v>
      </c>
      <c r="K126" s="139" t="s">
        <v>42</v>
      </c>
      <c r="L126" s="88"/>
      <c r="M126" s="89"/>
      <c r="N126" s="77"/>
      <c r="O126" s="94"/>
    </row>
    <row r="127" spans="1:15" ht="16.5" customHeight="1">
      <c r="A127" s="138">
        <v>46246</v>
      </c>
      <c r="B127" s="79" t="s">
        <v>48</v>
      </c>
      <c r="C127" s="139" t="s">
        <v>59</v>
      </c>
      <c r="D127" s="142"/>
      <c r="E127" s="141">
        <v>13000</v>
      </c>
      <c r="F127" s="86"/>
      <c r="G127" s="82">
        <f>G126+Table_1[[#This Row],[수입]]-Table_1[[#This Row],[지출]]</f>
        <v>27184571</v>
      </c>
      <c r="H127" s="149" t="s">
        <v>215</v>
      </c>
      <c r="I127" s="151" t="s">
        <v>214</v>
      </c>
      <c r="J127" s="139" t="s">
        <v>41</v>
      </c>
      <c r="K127" s="139" t="s">
        <v>42</v>
      </c>
      <c r="L127" s="88"/>
      <c r="M127" s="89"/>
      <c r="N127" s="77"/>
      <c r="O127" s="94"/>
    </row>
    <row r="128" spans="1:15" ht="16.5" customHeight="1">
      <c r="A128" s="138">
        <v>46246</v>
      </c>
      <c r="B128" s="79" t="s">
        <v>48</v>
      </c>
      <c r="C128" s="139" t="s">
        <v>59</v>
      </c>
      <c r="D128" s="142"/>
      <c r="E128" s="141">
        <v>14900</v>
      </c>
      <c r="F128" s="86"/>
      <c r="G128" s="82">
        <f>G127+Table_1[[#This Row],[수입]]-Table_1[[#This Row],[지출]]</f>
        <v>27169671</v>
      </c>
      <c r="H128" s="149" t="s">
        <v>216</v>
      </c>
      <c r="I128" s="151" t="s">
        <v>214</v>
      </c>
      <c r="J128" s="139" t="s">
        <v>41</v>
      </c>
      <c r="K128" s="139" t="s">
        <v>42</v>
      </c>
      <c r="L128" s="88"/>
      <c r="M128" s="89"/>
      <c r="N128" s="77"/>
      <c r="O128" s="94"/>
    </row>
    <row r="129" spans="1:26" ht="16.5" customHeight="1">
      <c r="A129" s="138">
        <v>46246</v>
      </c>
      <c r="B129" s="79" t="s">
        <v>55</v>
      </c>
      <c r="C129" s="139" t="s">
        <v>56</v>
      </c>
      <c r="D129" s="142"/>
      <c r="E129" s="141">
        <v>298500</v>
      </c>
      <c r="F129" s="86"/>
      <c r="G129" s="82">
        <f>G128+Table_1[[#This Row],[수입]]-Table_1[[#This Row],[지출]]</f>
        <v>26871171</v>
      </c>
      <c r="H129" s="149" t="s">
        <v>217</v>
      </c>
      <c r="I129" s="151" t="s">
        <v>214</v>
      </c>
      <c r="J129" s="139" t="s">
        <v>41</v>
      </c>
      <c r="K129" s="139" t="s">
        <v>42</v>
      </c>
      <c r="L129" s="88"/>
      <c r="M129" s="89"/>
      <c r="N129" s="77"/>
      <c r="O129" s="94"/>
    </row>
    <row r="130" spans="1:26" ht="16.5" customHeight="1">
      <c r="A130" s="138">
        <v>46252</v>
      </c>
      <c r="B130" s="79" t="s">
        <v>48</v>
      </c>
      <c r="C130" s="139" t="s">
        <v>59</v>
      </c>
      <c r="D130" s="142"/>
      <c r="E130" s="141">
        <v>12600</v>
      </c>
      <c r="F130" s="86"/>
      <c r="G130" s="82">
        <f>G129+Table_1[[#This Row],[수입]]-Table_1[[#This Row],[지출]]</f>
        <v>26858571</v>
      </c>
      <c r="H130" s="149" t="s">
        <v>168</v>
      </c>
      <c r="I130" s="151" t="s">
        <v>218</v>
      </c>
      <c r="J130" s="139" t="s">
        <v>23</v>
      </c>
      <c r="K130" s="139" t="s">
        <v>24</v>
      </c>
      <c r="L130" s="88"/>
      <c r="M130" s="89"/>
      <c r="N130" s="77"/>
      <c r="O130" s="94"/>
    </row>
    <row r="131" spans="1:26" ht="16.5" customHeight="1">
      <c r="A131" s="138">
        <v>46253</v>
      </c>
      <c r="B131" s="79" t="s">
        <v>219</v>
      </c>
      <c r="C131" s="139" t="s">
        <v>220</v>
      </c>
      <c r="D131" s="142"/>
      <c r="E131" s="141">
        <v>135000</v>
      </c>
      <c r="F131" s="86"/>
      <c r="G131" s="82">
        <f>G130+Table_1[[#This Row],[수입]]-Table_1[[#This Row],[지출]]</f>
        <v>26723571</v>
      </c>
      <c r="H131" s="149" t="s">
        <v>221</v>
      </c>
      <c r="I131" s="151" t="s">
        <v>218</v>
      </c>
      <c r="J131" s="139" t="s">
        <v>37</v>
      </c>
      <c r="K131" s="139" t="s">
        <v>24</v>
      </c>
      <c r="L131" s="88"/>
      <c r="M131" s="89"/>
      <c r="N131" s="77"/>
      <c r="O131" s="94"/>
    </row>
    <row r="132" spans="1:26" ht="16.5" customHeight="1">
      <c r="A132" s="138">
        <v>46253</v>
      </c>
      <c r="B132" s="79" t="s">
        <v>222</v>
      </c>
      <c r="C132" s="139" t="s">
        <v>223</v>
      </c>
      <c r="D132" s="142"/>
      <c r="E132" s="141">
        <v>135000</v>
      </c>
      <c r="F132" s="86"/>
      <c r="G132" s="82">
        <f>G131+Table_1[[#This Row],[수입]]-Table_1[[#This Row],[지출]]</f>
        <v>26588571</v>
      </c>
      <c r="H132" s="149" t="s">
        <v>224</v>
      </c>
      <c r="I132" s="151" t="s">
        <v>218</v>
      </c>
      <c r="J132" s="139" t="s">
        <v>37</v>
      </c>
      <c r="K132" s="139" t="s">
        <v>24</v>
      </c>
      <c r="L132" s="88"/>
      <c r="M132" s="89"/>
      <c r="N132" s="77"/>
      <c r="O132" s="94"/>
    </row>
    <row r="133" spans="1:26" ht="16.5" customHeight="1">
      <c r="A133" s="138">
        <v>46253</v>
      </c>
      <c r="B133" s="79" t="s">
        <v>48</v>
      </c>
      <c r="C133" s="139" t="s">
        <v>59</v>
      </c>
      <c r="D133" s="142"/>
      <c r="E133" s="141">
        <v>19400</v>
      </c>
      <c r="F133" s="86"/>
      <c r="G133" s="82">
        <f>G132+Table_1[[#This Row],[수입]]-Table_1[[#This Row],[지출]]</f>
        <v>26569171</v>
      </c>
      <c r="H133" s="149" t="s">
        <v>225</v>
      </c>
      <c r="I133" s="151" t="s">
        <v>226</v>
      </c>
      <c r="J133" s="139" t="s">
        <v>23</v>
      </c>
      <c r="K133" s="139" t="s">
        <v>24</v>
      </c>
      <c r="L133" s="88"/>
      <c r="M133" s="89"/>
      <c r="N133" s="77"/>
      <c r="O133" s="94"/>
    </row>
    <row r="134" spans="1:26" ht="16.5" customHeight="1">
      <c r="A134" s="138">
        <v>46254</v>
      </c>
      <c r="B134" s="79" t="s">
        <v>48</v>
      </c>
      <c r="C134" s="139" t="s">
        <v>59</v>
      </c>
      <c r="D134" s="142"/>
      <c r="E134" s="141">
        <v>44000</v>
      </c>
      <c r="F134" s="86"/>
      <c r="G134" s="82">
        <f>G133+Table_1[[#This Row],[수입]]-Table_1[[#This Row],[지출]]</f>
        <v>26525171</v>
      </c>
      <c r="H134" s="149" t="s">
        <v>227</v>
      </c>
      <c r="I134" s="151" t="s">
        <v>226</v>
      </c>
      <c r="J134" s="139" t="s">
        <v>41</v>
      </c>
      <c r="K134" s="139" t="s">
        <v>42</v>
      </c>
      <c r="L134" s="88"/>
      <c r="M134" s="89"/>
      <c r="N134" s="77"/>
      <c r="O134" s="94"/>
    </row>
    <row r="135" spans="1:26" ht="16.5" customHeight="1">
      <c r="A135" s="138">
        <v>46254</v>
      </c>
      <c r="B135" s="79" t="s">
        <v>48</v>
      </c>
      <c r="C135" s="139" t="s">
        <v>59</v>
      </c>
      <c r="D135" s="142"/>
      <c r="E135" s="141">
        <v>22800</v>
      </c>
      <c r="F135" s="86"/>
      <c r="G135" s="82">
        <f>G134+Table_1[[#This Row],[수입]]-Table_1[[#This Row],[지출]]</f>
        <v>26502371</v>
      </c>
      <c r="H135" s="149" t="s">
        <v>228</v>
      </c>
      <c r="I135" s="151" t="s">
        <v>229</v>
      </c>
      <c r="J135" s="139" t="s">
        <v>41</v>
      </c>
      <c r="K135" s="139" t="s">
        <v>42</v>
      </c>
      <c r="L135" s="88"/>
      <c r="M135" s="89"/>
      <c r="N135" s="77"/>
      <c r="O135" s="94"/>
    </row>
    <row r="136" spans="1:26" ht="16.5" customHeight="1">
      <c r="A136" s="138">
        <v>46259</v>
      </c>
      <c r="B136" s="79" t="s">
        <v>48</v>
      </c>
      <c r="C136" s="139" t="s">
        <v>59</v>
      </c>
      <c r="D136" s="142"/>
      <c r="E136" s="141">
        <v>11200</v>
      </c>
      <c r="F136" s="86"/>
      <c r="G136" s="82">
        <f>G135+Table_1[[#This Row],[수입]]-Table_1[[#This Row],[지출]]</f>
        <v>26491171</v>
      </c>
      <c r="H136" s="149" t="s">
        <v>230</v>
      </c>
      <c r="I136" s="151" t="s">
        <v>229</v>
      </c>
      <c r="J136" s="139" t="s">
        <v>41</v>
      </c>
      <c r="K136" s="139" t="s">
        <v>42</v>
      </c>
      <c r="L136" s="88"/>
      <c r="M136" s="89"/>
      <c r="N136" s="77"/>
      <c r="O136" s="94"/>
    </row>
    <row r="137" spans="1:26" ht="16.5" customHeight="1">
      <c r="A137" s="138">
        <v>46261</v>
      </c>
      <c r="B137" s="79" t="s">
        <v>48</v>
      </c>
      <c r="C137" s="139" t="s">
        <v>59</v>
      </c>
      <c r="D137" s="142"/>
      <c r="E137" s="141">
        <v>16500</v>
      </c>
      <c r="F137" s="86"/>
      <c r="G137" s="82">
        <f>G136+Table_1[[#This Row],[수입]]-Table_1[[#This Row],[지출]]</f>
        <v>26474671</v>
      </c>
      <c r="H137" s="149" t="s">
        <v>231</v>
      </c>
      <c r="I137" s="151" t="s">
        <v>232</v>
      </c>
      <c r="J137" s="139" t="s">
        <v>41</v>
      </c>
      <c r="K137" s="139" t="s">
        <v>42</v>
      </c>
      <c r="L137" s="88"/>
      <c r="M137" s="89"/>
      <c r="N137" s="77"/>
      <c r="O137" s="94"/>
    </row>
    <row r="138" spans="1:26" ht="16.5" customHeight="1">
      <c r="A138" s="138">
        <v>46261</v>
      </c>
      <c r="B138" s="79" t="s">
        <v>48</v>
      </c>
      <c r="C138" s="139" t="s">
        <v>59</v>
      </c>
      <c r="D138" s="142"/>
      <c r="E138" s="141">
        <v>39500</v>
      </c>
      <c r="F138" s="86"/>
      <c r="G138" s="82">
        <f>G137+Table_1[[#This Row],[수입]]-Table_1[[#This Row],[지출]]</f>
        <v>26435171</v>
      </c>
      <c r="H138" s="149" t="s">
        <v>233</v>
      </c>
      <c r="I138" s="151" t="s">
        <v>232</v>
      </c>
      <c r="J138" s="139" t="s">
        <v>41</v>
      </c>
      <c r="K138" s="139" t="s">
        <v>42</v>
      </c>
      <c r="L138" s="88"/>
      <c r="M138" s="89"/>
      <c r="N138" s="77"/>
      <c r="O138" s="94"/>
    </row>
    <row r="139" spans="1:26" ht="16.5" customHeight="1">
      <c r="A139" s="138">
        <v>46262</v>
      </c>
      <c r="B139" s="79" t="s">
        <v>4</v>
      </c>
      <c r="C139" s="139" t="s">
        <v>17</v>
      </c>
      <c r="D139" s="142">
        <v>1870000</v>
      </c>
      <c r="E139" s="141"/>
      <c r="F139" s="86"/>
      <c r="G139" s="82">
        <f>G138+Table_1[[#This Row],[수입]]-Table_1[[#This Row],[지출]]</f>
        <v>28305171</v>
      </c>
      <c r="H139" s="149" t="s">
        <v>199</v>
      </c>
      <c r="I139" s="138">
        <v>46262</v>
      </c>
      <c r="J139" s="139" t="s">
        <v>41</v>
      </c>
      <c r="K139" s="139" t="s">
        <v>42</v>
      </c>
      <c r="L139" s="88"/>
      <c r="M139" s="89"/>
      <c r="N139" s="77"/>
      <c r="O139" s="94"/>
    </row>
    <row r="140" spans="1:26" s="177" customFormat="1" ht="16.5" customHeight="1">
      <c r="A140" s="138">
        <v>46262</v>
      </c>
      <c r="B140" s="79" t="s">
        <v>48</v>
      </c>
      <c r="C140" s="171" t="s">
        <v>59</v>
      </c>
      <c r="D140" s="172"/>
      <c r="E140" s="173">
        <v>11800</v>
      </c>
      <c r="F140" s="86"/>
      <c r="G140" s="82">
        <f>G139+Table_1[[#This Row],[수입]]-Table_1[[#This Row],[지출]]</f>
        <v>28293371</v>
      </c>
      <c r="H140" s="174"/>
      <c r="I140" s="151" t="s">
        <v>396</v>
      </c>
      <c r="J140" s="139" t="s">
        <v>23</v>
      </c>
      <c r="K140" s="139" t="s">
        <v>24</v>
      </c>
      <c r="L140" s="88"/>
      <c r="M140" s="89"/>
      <c r="N140" s="171"/>
      <c r="O140" s="175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 ht="16.5" customHeight="1">
      <c r="A141" s="138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8">
        <v>46265</v>
      </c>
      <c r="J141" s="139" t="s">
        <v>41</v>
      </c>
      <c r="K141" s="139" t="s">
        <v>42</v>
      </c>
      <c r="L141" s="88"/>
      <c r="M141" s="89"/>
      <c r="N141" s="77"/>
      <c r="O141" s="94"/>
    </row>
    <row r="142" spans="1:26" ht="16.5" customHeight="1">
      <c r="A142" s="138">
        <v>46266</v>
      </c>
      <c r="B142" s="79" t="s">
        <v>48</v>
      </c>
      <c r="C142" s="139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1" t="s">
        <v>236</v>
      </c>
      <c r="J142" s="139" t="s">
        <v>41</v>
      </c>
      <c r="K142" s="139" t="s">
        <v>42</v>
      </c>
      <c r="L142" s="88"/>
      <c r="M142" s="89"/>
      <c r="N142" s="77"/>
      <c r="O142" s="94"/>
    </row>
    <row r="143" spans="1:26" ht="16.5" customHeight="1">
      <c r="A143" s="138">
        <v>46266</v>
      </c>
      <c r="B143" s="79" t="s">
        <v>48</v>
      </c>
      <c r="C143" s="139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1" t="s">
        <v>236</v>
      </c>
      <c r="J143" s="139" t="s">
        <v>41</v>
      </c>
      <c r="K143" s="139" t="s">
        <v>42</v>
      </c>
      <c r="L143" s="88"/>
      <c r="M143" s="89"/>
      <c r="N143" s="77"/>
      <c r="O143" s="94"/>
    </row>
    <row r="144" spans="1:26" ht="16.5" customHeight="1">
      <c r="A144" s="138">
        <v>46267</v>
      </c>
      <c r="B144" s="79" t="s">
        <v>48</v>
      </c>
      <c r="C144" s="139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385</v>
      </c>
      <c r="I144" s="151" t="s">
        <v>386</v>
      </c>
      <c r="J144" s="139" t="s">
        <v>41</v>
      </c>
      <c r="K144" s="139" t="s">
        <v>42</v>
      </c>
      <c r="L144" s="88"/>
      <c r="M144" s="89"/>
      <c r="N144" s="77"/>
      <c r="O144" s="94"/>
    </row>
    <row r="145" spans="1:26" ht="16.5" customHeight="1">
      <c r="A145" s="138">
        <v>46269</v>
      </c>
      <c r="B145" s="79" t="s">
        <v>48</v>
      </c>
      <c r="C145" s="139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387</v>
      </c>
      <c r="I145" s="151" t="s">
        <v>388</v>
      </c>
      <c r="J145" s="139" t="s">
        <v>41</v>
      </c>
      <c r="K145" s="139" t="s">
        <v>42</v>
      </c>
      <c r="L145" s="88"/>
      <c r="M145" s="89"/>
      <c r="N145" s="77"/>
      <c r="O145" s="94"/>
    </row>
    <row r="146" spans="1:26" ht="16.5" customHeight="1">
      <c r="A146" s="138">
        <v>46273</v>
      </c>
      <c r="B146" s="79" t="s">
        <v>48</v>
      </c>
      <c r="C146" s="139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389</v>
      </c>
      <c r="I146" s="151" t="s">
        <v>390</v>
      </c>
      <c r="J146" s="139" t="s">
        <v>41</v>
      </c>
      <c r="K146" s="139" t="s">
        <v>42</v>
      </c>
      <c r="L146" s="88"/>
      <c r="M146" s="89"/>
      <c r="N146" s="77"/>
      <c r="O146" s="94"/>
    </row>
    <row r="147" spans="1:26" ht="16.5" customHeight="1">
      <c r="A147" s="138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391</v>
      </c>
      <c r="I147" s="151" t="s">
        <v>390</v>
      </c>
      <c r="J147" s="139" t="s">
        <v>37</v>
      </c>
      <c r="K147" s="139" t="s">
        <v>24</v>
      </c>
      <c r="L147" s="88"/>
      <c r="M147" s="89"/>
      <c r="N147" s="77"/>
      <c r="O147" s="94"/>
    </row>
    <row r="148" spans="1:26" ht="16.5" customHeight="1">
      <c r="A148" s="138">
        <v>46275</v>
      </c>
      <c r="B148" s="79" t="s">
        <v>48</v>
      </c>
      <c r="C148" s="139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392</v>
      </c>
      <c r="I148" s="151" t="s">
        <v>393</v>
      </c>
      <c r="J148" s="139" t="s">
        <v>41</v>
      </c>
      <c r="K148" s="139" t="s">
        <v>42</v>
      </c>
      <c r="L148" s="88"/>
      <c r="M148" s="89"/>
      <c r="N148" s="77"/>
      <c r="O148" s="94"/>
    </row>
    <row r="149" spans="1:26" ht="16.5" customHeight="1">
      <c r="A149" s="138">
        <v>46276</v>
      </c>
      <c r="B149" s="79" t="s">
        <v>55</v>
      </c>
      <c r="C149" s="139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394</v>
      </c>
      <c r="I149" s="151" t="s">
        <v>395</v>
      </c>
      <c r="J149" s="139" t="s">
        <v>41</v>
      </c>
      <c r="K149" s="139" t="s">
        <v>42</v>
      </c>
      <c r="L149" s="88"/>
      <c r="M149" s="89"/>
      <c r="N149" s="77"/>
      <c r="O149" s="94"/>
    </row>
    <row r="150" spans="1:26" ht="16.5" customHeight="1">
      <c r="A150" s="138">
        <v>46279</v>
      </c>
      <c r="B150" s="79" t="s">
        <v>48</v>
      </c>
      <c r="C150" s="139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400</v>
      </c>
      <c r="I150" s="138">
        <v>46279</v>
      </c>
      <c r="J150" s="79" t="s">
        <v>397</v>
      </c>
      <c r="K150" s="79" t="s">
        <v>398</v>
      </c>
      <c r="L150" s="88"/>
      <c r="M150" s="89"/>
      <c r="N150" s="77"/>
      <c r="O150" s="94"/>
    </row>
    <row r="151" spans="1:26" ht="16.5" customHeight="1">
      <c r="A151" s="138">
        <v>46280</v>
      </c>
      <c r="B151" s="79" t="s">
        <v>48</v>
      </c>
      <c r="C151" s="139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399</v>
      </c>
      <c r="I151" s="151" t="s">
        <v>401</v>
      </c>
      <c r="J151" s="139" t="s">
        <v>23</v>
      </c>
      <c r="K151" s="139" t="s">
        <v>24</v>
      </c>
      <c r="L151" s="88"/>
      <c r="M151" s="89"/>
      <c r="N151" s="77"/>
      <c r="O151" s="94"/>
    </row>
    <row r="152" spans="1:26" ht="16.5" customHeight="1">
      <c r="A152" s="138">
        <v>46282</v>
      </c>
      <c r="B152" s="79" t="s">
        <v>48</v>
      </c>
      <c r="C152" s="139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402</v>
      </c>
      <c r="I152" s="138">
        <v>46282</v>
      </c>
      <c r="J152" s="139" t="s">
        <v>41</v>
      </c>
      <c r="K152" s="139" t="s">
        <v>42</v>
      </c>
      <c r="L152" s="88"/>
      <c r="M152" s="89"/>
      <c r="N152" s="77"/>
      <c r="O152" s="94"/>
    </row>
    <row r="153" spans="1:26" ht="16.5" customHeight="1">
      <c r="A153" s="138">
        <v>46283</v>
      </c>
      <c r="B153" s="79" t="s">
        <v>48</v>
      </c>
      <c r="C153" s="139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403</v>
      </c>
      <c r="I153" s="138">
        <v>46283</v>
      </c>
      <c r="J153" s="139" t="s">
        <v>41</v>
      </c>
      <c r="K153" s="139" t="s">
        <v>42</v>
      </c>
      <c r="L153" s="88"/>
      <c r="M153" s="89"/>
      <c r="N153" s="77"/>
      <c r="O153" s="94"/>
    </row>
    <row r="154" spans="1:26" ht="16.5" customHeight="1">
      <c r="A154" s="138">
        <v>46283</v>
      </c>
      <c r="B154" s="79" t="s">
        <v>48</v>
      </c>
      <c r="C154" s="139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404</v>
      </c>
      <c r="I154" s="138">
        <v>46283</v>
      </c>
      <c r="J154" s="139" t="s">
        <v>37</v>
      </c>
      <c r="K154" s="139" t="s">
        <v>24</v>
      </c>
      <c r="L154" s="88"/>
      <c r="M154" s="89"/>
      <c r="N154" s="77"/>
      <c r="O154" s="94"/>
    </row>
    <row r="155" spans="1:26" ht="16.5" customHeight="1">
      <c r="A155" s="138">
        <v>46283</v>
      </c>
      <c r="B155" s="79" t="s">
        <v>48</v>
      </c>
      <c r="C155" s="139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405</v>
      </c>
      <c r="I155" s="138">
        <v>46283</v>
      </c>
      <c r="J155" s="79" t="s">
        <v>397</v>
      </c>
      <c r="K155" s="79" t="s">
        <v>398</v>
      </c>
      <c r="L155" s="88"/>
      <c r="M155" s="89"/>
      <c r="N155" s="77"/>
      <c r="O155" s="94"/>
    </row>
    <row r="156" spans="1:26" ht="16.5" customHeight="1">
      <c r="A156" s="138">
        <v>46286</v>
      </c>
      <c r="B156" s="79" t="s">
        <v>48</v>
      </c>
      <c r="C156" s="139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406</v>
      </c>
      <c r="I156" s="138">
        <v>46286</v>
      </c>
      <c r="J156" s="139" t="s">
        <v>37</v>
      </c>
      <c r="K156" s="139" t="s">
        <v>24</v>
      </c>
      <c r="L156" s="88"/>
      <c r="M156" s="89"/>
      <c r="N156" s="77"/>
      <c r="O156" s="94"/>
    </row>
    <row r="157" spans="1:26" ht="16.5" customHeight="1">
      <c r="A157" s="138">
        <v>46287</v>
      </c>
      <c r="B157" s="79" t="s">
        <v>48</v>
      </c>
      <c r="C157" s="139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407</v>
      </c>
      <c r="I157" s="138">
        <v>46287</v>
      </c>
      <c r="J157" s="139" t="s">
        <v>23</v>
      </c>
      <c r="K157" s="139" t="s">
        <v>24</v>
      </c>
      <c r="L157" s="88"/>
      <c r="M157" s="89"/>
      <c r="N157" s="77"/>
      <c r="O157" s="94"/>
    </row>
    <row r="158" spans="1:26" s="177" customFormat="1" ht="16.5" customHeight="1">
      <c r="A158" s="138">
        <v>46287</v>
      </c>
      <c r="B158" s="79" t="s">
        <v>48</v>
      </c>
      <c r="C158" s="139" t="s">
        <v>59</v>
      </c>
      <c r="D158" s="86"/>
      <c r="E158" s="86">
        <v>19400</v>
      </c>
      <c r="F158" s="86"/>
      <c r="G158" s="82">
        <f>G157+Table_1[[#This Row],[수입]]-Table_1[[#This Row],[지출]]</f>
        <v>30475491</v>
      </c>
      <c r="H158" s="87" t="s">
        <v>399</v>
      </c>
      <c r="I158" s="138">
        <v>46287</v>
      </c>
      <c r="J158" s="139" t="s">
        <v>23</v>
      </c>
      <c r="K158" s="139" t="s">
        <v>24</v>
      </c>
      <c r="L158" s="88"/>
      <c r="M158" s="89"/>
      <c r="N158" s="171"/>
      <c r="O158" s="175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 spans="1:26" ht="16.5" customHeight="1">
      <c r="A159" s="138">
        <v>46294</v>
      </c>
      <c r="B159" s="79" t="s">
        <v>48</v>
      </c>
      <c r="C159" s="139" t="s">
        <v>59</v>
      </c>
      <c r="D159" s="86"/>
      <c r="E159" s="86">
        <v>24500</v>
      </c>
      <c r="F159" s="86"/>
      <c r="G159" s="82">
        <f>G158+Table_1[[#This Row],[수입]]-Table_1[[#This Row],[지출]]</f>
        <v>30450991</v>
      </c>
      <c r="H159" s="87" t="s">
        <v>408</v>
      </c>
      <c r="I159" s="138">
        <v>46294</v>
      </c>
      <c r="J159" s="139" t="s">
        <v>41</v>
      </c>
      <c r="K159" s="139" t="s">
        <v>42</v>
      </c>
      <c r="L159" s="88"/>
      <c r="M159" s="89"/>
      <c r="N159" s="77"/>
      <c r="O159" s="94"/>
    </row>
    <row r="160" spans="1:26" ht="16.5" customHeight="1">
      <c r="A160" s="138">
        <v>46294</v>
      </c>
      <c r="B160" s="79" t="s">
        <v>48</v>
      </c>
      <c r="C160" s="139" t="s">
        <v>59</v>
      </c>
      <c r="D160" s="86"/>
      <c r="E160" s="86">
        <v>14100</v>
      </c>
      <c r="F160" s="86"/>
      <c r="G160" s="82">
        <f>G159+Table_1[[#This Row],[수입]]-Table_1[[#This Row],[지출]]</f>
        <v>30436891</v>
      </c>
      <c r="H160" s="87" t="s">
        <v>409</v>
      </c>
      <c r="I160" s="138">
        <v>46294</v>
      </c>
      <c r="J160" s="139" t="s">
        <v>41</v>
      </c>
      <c r="K160" s="139" t="s">
        <v>42</v>
      </c>
      <c r="L160" s="88"/>
      <c r="M160" s="89"/>
      <c r="N160" s="77"/>
      <c r="O160" s="94"/>
    </row>
    <row r="161" spans="1:26" s="177" customFormat="1" ht="16.5" customHeight="1">
      <c r="A161" s="138">
        <v>46294</v>
      </c>
      <c r="B161" s="79" t="s">
        <v>48</v>
      </c>
      <c r="C161" s="139" t="s">
        <v>59</v>
      </c>
      <c r="D161" s="86"/>
      <c r="E161" s="86">
        <v>17600</v>
      </c>
      <c r="F161" s="86"/>
      <c r="G161" s="82">
        <f>G160+Table_1[[#This Row],[수입]]-Table_1[[#This Row],[지출]]</f>
        <v>30419291</v>
      </c>
      <c r="H161" s="174" t="s">
        <v>407</v>
      </c>
      <c r="I161" s="138">
        <v>46294</v>
      </c>
      <c r="J161" s="139" t="s">
        <v>23</v>
      </c>
      <c r="K161" s="139" t="s">
        <v>24</v>
      </c>
      <c r="L161" s="88"/>
      <c r="M161" s="89"/>
      <c r="N161" s="171"/>
      <c r="O161" s="175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 spans="1:26" ht="16.5" customHeight="1">
      <c r="A162" s="138">
        <v>46295</v>
      </c>
      <c r="B162" s="79" t="s">
        <v>4</v>
      </c>
      <c r="C162" s="79" t="s">
        <v>17</v>
      </c>
      <c r="D162" s="86">
        <v>1880000</v>
      </c>
      <c r="E162" s="86"/>
      <c r="F162" s="86"/>
      <c r="G162" s="82">
        <f>G161+Table_1[[#This Row],[수입]]-Table_1[[#This Row],[지출]]</f>
        <v>32299291</v>
      </c>
      <c r="H162" s="149" t="s">
        <v>199</v>
      </c>
      <c r="I162" s="138">
        <v>46295</v>
      </c>
      <c r="J162" s="139" t="s">
        <v>41</v>
      </c>
      <c r="K162" s="139" t="s">
        <v>42</v>
      </c>
      <c r="L162" s="88"/>
      <c r="M162" s="89"/>
      <c r="N162" s="77"/>
      <c r="O162" s="94"/>
    </row>
    <row r="163" spans="1:26" ht="16.5" customHeight="1">
      <c r="A163" s="138">
        <v>46295</v>
      </c>
      <c r="B163" s="79" t="s">
        <v>48</v>
      </c>
      <c r="C163" s="139" t="s">
        <v>59</v>
      </c>
      <c r="D163" s="86"/>
      <c r="E163" s="86">
        <v>13200</v>
      </c>
      <c r="F163" s="86"/>
      <c r="G163" s="82">
        <f>G162+Table_1[[#This Row],[수입]]-Table_1[[#This Row],[지출]]</f>
        <v>32286091</v>
      </c>
      <c r="H163" s="87" t="s">
        <v>412</v>
      </c>
      <c r="I163" s="138">
        <v>46295</v>
      </c>
      <c r="J163" s="139" t="s">
        <v>37</v>
      </c>
      <c r="K163" s="139" t="s">
        <v>24</v>
      </c>
      <c r="L163" s="88"/>
      <c r="M163" s="89"/>
      <c r="N163" s="77"/>
      <c r="O163" s="94"/>
    </row>
    <row r="164" spans="1:26" ht="16.5" customHeight="1">
      <c r="A164" s="138">
        <v>46296</v>
      </c>
      <c r="B164" s="79" t="s">
        <v>48</v>
      </c>
      <c r="C164" s="139" t="s">
        <v>59</v>
      </c>
      <c r="D164" s="86"/>
      <c r="E164" s="86">
        <v>19800</v>
      </c>
      <c r="F164" s="86"/>
      <c r="G164" s="82">
        <f>G163+Table_1[[#This Row],[수입]]-Table_1[[#This Row],[지출]]</f>
        <v>32266291</v>
      </c>
      <c r="H164" s="87" t="s">
        <v>413</v>
      </c>
      <c r="I164" s="138">
        <v>46296</v>
      </c>
      <c r="J164" s="139" t="s">
        <v>41</v>
      </c>
      <c r="K164" s="139" t="s">
        <v>42</v>
      </c>
      <c r="L164" s="88"/>
      <c r="M164" s="89"/>
      <c r="N164" s="77"/>
      <c r="O164" s="94"/>
    </row>
    <row r="165" spans="1:26" ht="16.5" customHeight="1">
      <c r="A165" s="138">
        <v>46296</v>
      </c>
      <c r="B165" s="79" t="s">
        <v>48</v>
      </c>
      <c r="C165" s="139" t="s">
        <v>59</v>
      </c>
      <c r="D165" s="86"/>
      <c r="E165" s="86">
        <v>37500</v>
      </c>
      <c r="F165" s="86"/>
      <c r="G165" s="82">
        <f>G164+Table_1[[#This Row],[수입]]-Table_1[[#This Row],[지출]]</f>
        <v>32228791</v>
      </c>
      <c r="H165" s="174" t="s">
        <v>414</v>
      </c>
      <c r="I165" s="138">
        <v>46296</v>
      </c>
      <c r="J165" s="139" t="s">
        <v>41</v>
      </c>
      <c r="K165" s="139" t="s">
        <v>42</v>
      </c>
      <c r="L165" s="88"/>
      <c r="M165" s="89"/>
      <c r="N165" s="77"/>
      <c r="O165" s="94"/>
    </row>
    <row r="166" spans="1:26" ht="16.5" customHeight="1">
      <c r="A166" s="138">
        <v>46296</v>
      </c>
      <c r="B166" s="79" t="s">
        <v>55</v>
      </c>
      <c r="C166" s="79" t="s">
        <v>56</v>
      </c>
      <c r="D166" s="86"/>
      <c r="E166" s="86">
        <v>21200</v>
      </c>
      <c r="F166" s="86"/>
      <c r="G166" s="82">
        <f>G165+Table_1[[#This Row],[수입]]-Table_1[[#This Row],[지출]]</f>
        <v>32207591</v>
      </c>
      <c r="H166" s="87" t="s">
        <v>415</v>
      </c>
      <c r="I166" s="138">
        <v>46296</v>
      </c>
      <c r="J166" s="139" t="s">
        <v>37</v>
      </c>
      <c r="K166" s="139" t="s">
        <v>24</v>
      </c>
      <c r="L166" s="88"/>
      <c r="M166" s="89"/>
      <c r="N166" s="77"/>
      <c r="O166" s="94"/>
    </row>
    <row r="167" spans="1:26" ht="16.5" customHeight="1">
      <c r="A167" s="138">
        <v>46296</v>
      </c>
      <c r="B167" s="79" t="s">
        <v>55</v>
      </c>
      <c r="C167" s="79" t="s">
        <v>56</v>
      </c>
      <c r="D167" s="86"/>
      <c r="E167" s="86">
        <v>204000</v>
      </c>
      <c r="F167" s="86"/>
      <c r="G167" s="82">
        <f>G166+Table_1[[#This Row],[수입]]-Table_1[[#This Row],[지출]]</f>
        <v>32003591</v>
      </c>
      <c r="H167" s="87" t="s">
        <v>415</v>
      </c>
      <c r="I167" s="138">
        <v>46296</v>
      </c>
      <c r="J167" s="139" t="s">
        <v>37</v>
      </c>
      <c r="K167" s="139" t="s">
        <v>24</v>
      </c>
      <c r="L167" s="88"/>
      <c r="M167" s="89"/>
      <c r="N167" s="77"/>
      <c r="O167" s="94"/>
    </row>
    <row r="168" spans="1:26" s="177" customFormat="1" ht="16.5" customHeight="1">
      <c r="A168" s="138">
        <v>46297</v>
      </c>
      <c r="B168" s="79" t="s">
        <v>48</v>
      </c>
      <c r="C168" s="139" t="s">
        <v>59</v>
      </c>
      <c r="D168" s="86"/>
      <c r="E168" s="86">
        <v>14700</v>
      </c>
      <c r="F168" s="86"/>
      <c r="G168" s="82">
        <f>G167+Table_1[[#This Row],[수입]]-Table_1[[#This Row],[지출]]</f>
        <v>31988891</v>
      </c>
      <c r="H168" s="87" t="s">
        <v>407</v>
      </c>
      <c r="I168" s="138">
        <v>46297</v>
      </c>
      <c r="J168" s="139" t="s">
        <v>23</v>
      </c>
      <c r="K168" s="139" t="s">
        <v>24</v>
      </c>
      <c r="L168" s="88"/>
      <c r="M168" s="89"/>
      <c r="N168" s="171"/>
      <c r="O168" s="175"/>
      <c r="P168" s="176"/>
      <c r="Q168" s="176"/>
      <c r="R168" s="176"/>
      <c r="S168" s="176"/>
      <c r="T168" s="176"/>
      <c r="U168" s="176"/>
      <c r="V168" s="176"/>
      <c r="W168" s="176"/>
      <c r="X168" s="176"/>
      <c r="Y168" s="176"/>
      <c r="Z168" s="176"/>
    </row>
    <row r="169" spans="1:26" ht="16.5" customHeight="1">
      <c r="A169" s="138">
        <v>46306</v>
      </c>
      <c r="B169" s="79" t="s">
        <v>48</v>
      </c>
      <c r="C169" s="79" t="s">
        <v>49</v>
      </c>
      <c r="D169" s="86"/>
      <c r="E169" s="86">
        <v>300000</v>
      </c>
      <c r="F169" s="86"/>
      <c r="G169" s="82">
        <f>G168+Table_1[[#This Row],[수입]]-Table_1[[#This Row],[지출]]</f>
        <v>31688891</v>
      </c>
      <c r="H169" s="87" t="s">
        <v>416</v>
      </c>
      <c r="I169" s="138">
        <v>46306</v>
      </c>
      <c r="J169" s="79" t="s">
        <v>418</v>
      </c>
      <c r="K169" s="79" t="s">
        <v>398</v>
      </c>
      <c r="L169" s="88"/>
      <c r="M169" s="89"/>
      <c r="N169" s="77"/>
      <c r="O169" s="94"/>
    </row>
    <row r="170" spans="1:26" ht="16.5" customHeight="1">
      <c r="A170" s="138">
        <v>46306</v>
      </c>
      <c r="B170" s="79" t="s">
        <v>48</v>
      </c>
      <c r="C170" s="79" t="s">
        <v>49</v>
      </c>
      <c r="D170" s="86"/>
      <c r="E170" s="86">
        <v>100000</v>
      </c>
      <c r="F170" s="86"/>
      <c r="G170" s="82">
        <f>G169+Table_1[[#This Row],[수입]]-Table_1[[#This Row],[지출]]</f>
        <v>31588891</v>
      </c>
      <c r="H170" s="87" t="s">
        <v>417</v>
      </c>
      <c r="I170" s="138">
        <v>46306</v>
      </c>
      <c r="J170" s="79" t="s">
        <v>41</v>
      </c>
      <c r="K170" s="79" t="s">
        <v>42</v>
      </c>
      <c r="L170" s="88"/>
      <c r="M170" s="89"/>
      <c r="N170" s="77"/>
      <c r="O170" s="94"/>
    </row>
    <row r="171" spans="1:26" ht="16.5" customHeight="1">
      <c r="A171" s="138">
        <v>46307</v>
      </c>
      <c r="B171" s="79" t="s">
        <v>48</v>
      </c>
      <c r="C171" s="139" t="s">
        <v>59</v>
      </c>
      <c r="D171" s="86"/>
      <c r="E171" s="86">
        <v>29500</v>
      </c>
      <c r="F171" s="86"/>
      <c r="G171" s="82">
        <f>G170+Table_1[[#This Row],[수입]]-Table_1[[#This Row],[지출]]</f>
        <v>31559391</v>
      </c>
      <c r="H171" s="87" t="s">
        <v>419</v>
      </c>
      <c r="I171" s="138">
        <v>46307</v>
      </c>
      <c r="J171" s="79" t="s">
        <v>41</v>
      </c>
      <c r="K171" s="79" t="s">
        <v>42</v>
      </c>
      <c r="L171" s="88"/>
      <c r="M171" s="89"/>
      <c r="N171" s="77"/>
      <c r="O171" s="94"/>
    </row>
    <row r="172" spans="1:26" ht="16.5" customHeight="1">
      <c r="A172" s="138">
        <v>46308</v>
      </c>
      <c r="B172" s="79" t="s">
        <v>48</v>
      </c>
      <c r="C172" s="139" t="s">
        <v>59</v>
      </c>
      <c r="D172" s="86"/>
      <c r="E172" s="86">
        <v>7800</v>
      </c>
      <c r="F172" s="86"/>
      <c r="G172" s="82">
        <f>G171+Table_1[[#This Row],[수입]]-Table_1[[#This Row],[지출]]</f>
        <v>31551591</v>
      </c>
      <c r="H172" s="87" t="s">
        <v>420</v>
      </c>
      <c r="I172" s="138">
        <v>46308</v>
      </c>
      <c r="J172" s="139" t="s">
        <v>23</v>
      </c>
      <c r="K172" s="139" t="s">
        <v>24</v>
      </c>
      <c r="L172" s="88"/>
      <c r="M172" s="89"/>
      <c r="N172" s="77"/>
      <c r="O172" s="94"/>
    </row>
    <row r="173" spans="1:26" ht="16.5" customHeight="1">
      <c r="A173" s="138">
        <v>46309</v>
      </c>
      <c r="B173" s="79" t="s">
        <v>48</v>
      </c>
      <c r="C173" s="139" t="s">
        <v>59</v>
      </c>
      <c r="D173" s="86"/>
      <c r="E173" s="86">
        <v>60800</v>
      </c>
      <c r="F173" s="86"/>
      <c r="G173" s="82">
        <f>G172+Table_1[[#This Row],[수입]]-Table_1[[#This Row],[지출]]</f>
        <v>31490791</v>
      </c>
      <c r="H173" s="87" t="s">
        <v>421</v>
      </c>
      <c r="I173" s="138">
        <v>46309</v>
      </c>
      <c r="J173" s="139" t="s">
        <v>23</v>
      </c>
      <c r="K173" s="139" t="s">
        <v>24</v>
      </c>
      <c r="L173" s="88"/>
      <c r="M173" s="89"/>
      <c r="N173" s="77"/>
      <c r="O173" s="94"/>
    </row>
    <row r="174" spans="1:26" ht="16.5" customHeight="1">
      <c r="A174" s="138">
        <v>46309</v>
      </c>
      <c r="B174" s="79" t="s">
        <v>48</v>
      </c>
      <c r="C174" s="139" t="s">
        <v>59</v>
      </c>
      <c r="D174" s="86"/>
      <c r="E174" s="86">
        <v>31400</v>
      </c>
      <c r="F174" s="86"/>
      <c r="G174" s="82">
        <f>G173+Table_1[[#This Row],[수입]]-Table_1[[#This Row],[지출]]</f>
        <v>31459391</v>
      </c>
      <c r="H174" s="87" t="s">
        <v>402</v>
      </c>
      <c r="I174" s="138">
        <v>46309</v>
      </c>
      <c r="J174" s="79" t="s">
        <v>41</v>
      </c>
      <c r="K174" s="79" t="s">
        <v>42</v>
      </c>
      <c r="L174" s="88"/>
      <c r="M174" s="89"/>
      <c r="N174" s="77"/>
      <c r="O174" s="94"/>
    </row>
    <row r="175" spans="1:26" ht="16.5" customHeight="1">
      <c r="A175" s="138">
        <v>46311</v>
      </c>
      <c r="B175" s="79" t="s">
        <v>48</v>
      </c>
      <c r="C175" s="139" t="s">
        <v>59</v>
      </c>
      <c r="D175" s="86"/>
      <c r="E175" s="86">
        <v>18700</v>
      </c>
      <c r="F175" s="86"/>
      <c r="G175" s="82">
        <f>G174+Table_1[[#This Row],[수입]]-Table_1[[#This Row],[지출]]</f>
        <v>31440691</v>
      </c>
      <c r="H175" s="87" t="s">
        <v>422</v>
      </c>
      <c r="I175" s="138">
        <v>46311</v>
      </c>
      <c r="J175" s="79" t="s">
        <v>41</v>
      </c>
      <c r="K175" s="79" t="s">
        <v>42</v>
      </c>
      <c r="L175" s="88"/>
      <c r="M175" s="89"/>
      <c r="N175" s="77"/>
      <c r="O175" s="94"/>
    </row>
    <row r="176" spans="1:26" ht="16.5" customHeight="1">
      <c r="A176" s="118"/>
      <c r="B176" s="79"/>
      <c r="C176" s="79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  <c r="O176" s="94"/>
    </row>
    <row r="177" spans="1:15" ht="16.5" customHeight="1">
      <c r="A177" s="118"/>
      <c r="B177" s="79"/>
      <c r="C177" s="79"/>
      <c r="D177" s="86"/>
      <c r="E177" s="86"/>
      <c r="F177" s="86"/>
      <c r="G177" s="82"/>
      <c r="H177" s="87"/>
      <c r="I177" s="88"/>
      <c r="J177" s="79"/>
      <c r="K177" s="79"/>
      <c r="L177" s="88"/>
      <c r="M177" s="89"/>
      <c r="N177" s="77"/>
      <c r="O177" s="94"/>
    </row>
    <row r="178" spans="1:15" ht="16.5" customHeight="1">
      <c r="A178" s="85"/>
      <c r="B178" s="79"/>
      <c r="C178" s="79"/>
      <c r="D178" s="86"/>
      <c r="E178" s="86"/>
      <c r="F178" s="86"/>
      <c r="G178" s="82"/>
      <c r="H178" s="87"/>
      <c r="I178" s="88"/>
      <c r="J178" s="79"/>
      <c r="K178" s="79"/>
      <c r="L178" s="88"/>
      <c r="M178" s="89"/>
      <c r="N178" s="77"/>
    </row>
    <row r="179" spans="1:15" ht="16.5" customHeight="1">
      <c r="A179" s="85"/>
      <c r="B179" s="79"/>
      <c r="C179" s="80"/>
      <c r="D179" s="86"/>
      <c r="E179" s="86"/>
      <c r="F179" s="86"/>
      <c r="G179" s="82"/>
      <c r="H179" s="87"/>
      <c r="I179" s="88"/>
      <c r="J179" s="79"/>
      <c r="K179" s="79"/>
      <c r="L179" s="88"/>
      <c r="M179" s="89"/>
      <c r="N179" s="77"/>
    </row>
    <row r="180" spans="1:15" ht="16.5" customHeight="1">
      <c r="D180" s="75"/>
      <c r="E180" s="75"/>
      <c r="F180" s="75"/>
      <c r="G180" s="75"/>
      <c r="L180" s="76"/>
      <c r="N180" s="77"/>
    </row>
    <row r="181" spans="1:15" ht="16.5" customHeight="1">
      <c r="A181" s="178" t="s">
        <v>48</v>
      </c>
      <c r="B181" s="178" t="s">
        <v>219</v>
      </c>
      <c r="C181" s="178" t="s">
        <v>238</v>
      </c>
      <c r="D181" s="178" t="s">
        <v>222</v>
      </c>
      <c r="E181" s="178" t="s">
        <v>55</v>
      </c>
      <c r="F181" s="178" t="s">
        <v>239</v>
      </c>
      <c r="G181" s="178" t="s">
        <v>4</v>
      </c>
      <c r="H181" s="178" t="s">
        <v>19</v>
      </c>
      <c r="J181" s="120" t="s">
        <v>240</v>
      </c>
      <c r="K181" s="120" t="s">
        <v>241</v>
      </c>
      <c r="N181" s="77"/>
    </row>
    <row r="182" spans="1:15" ht="16.5" customHeight="1">
      <c r="A182" s="95" t="s">
        <v>49</v>
      </c>
      <c r="B182" s="95" t="s">
        <v>242</v>
      </c>
      <c r="C182" s="95" t="s">
        <v>243</v>
      </c>
      <c r="D182" s="95" t="s">
        <v>223</v>
      </c>
      <c r="E182" s="95" t="s">
        <v>244</v>
      </c>
      <c r="F182" s="95" t="s">
        <v>245</v>
      </c>
      <c r="G182" s="95" t="s">
        <v>17</v>
      </c>
      <c r="H182" s="95" t="s">
        <v>20</v>
      </c>
      <c r="K182" s="120" t="s">
        <v>246</v>
      </c>
      <c r="N182" s="77"/>
    </row>
    <row r="183" spans="1:15" ht="16.5" customHeight="1">
      <c r="A183" s="95" t="s">
        <v>247</v>
      </c>
      <c r="B183" s="95" t="s">
        <v>220</v>
      </c>
      <c r="C183" s="95" t="s">
        <v>248</v>
      </c>
      <c r="D183" s="95" t="s">
        <v>249</v>
      </c>
      <c r="E183" s="95" t="s">
        <v>56</v>
      </c>
      <c r="F183" s="95" t="s">
        <v>250</v>
      </c>
      <c r="G183" s="95" t="s">
        <v>251</v>
      </c>
      <c r="H183" s="95" t="s">
        <v>49</v>
      </c>
      <c r="N183" s="77"/>
    </row>
    <row r="184" spans="1:15" ht="16.5" customHeight="1">
      <c r="A184" s="95" t="s">
        <v>104</v>
      </c>
      <c r="B184" s="95" t="s">
        <v>252</v>
      </c>
      <c r="E184" s="95" t="s">
        <v>253</v>
      </c>
      <c r="F184" s="95" t="s">
        <v>254</v>
      </c>
      <c r="G184" s="95" t="s">
        <v>15</v>
      </c>
      <c r="H184" s="95" t="s">
        <v>59</v>
      </c>
      <c r="N184" s="77"/>
    </row>
    <row r="185" spans="1:15" ht="16.5" customHeight="1">
      <c r="A185" s="95" t="s">
        <v>255</v>
      </c>
      <c r="E185" s="95" t="s">
        <v>256</v>
      </c>
      <c r="G185" s="95" t="s">
        <v>234</v>
      </c>
      <c r="N185" s="77"/>
    </row>
    <row r="186" spans="1:15" ht="16.5" customHeight="1">
      <c r="A186" s="95" t="s">
        <v>257</v>
      </c>
      <c r="D186" s="76"/>
      <c r="G186" s="95" t="s">
        <v>258</v>
      </c>
      <c r="N186" s="77"/>
    </row>
    <row r="187" spans="1:15" ht="16.5" customHeight="1">
      <c r="A187" s="95" t="s">
        <v>59</v>
      </c>
      <c r="D187" s="76"/>
      <c r="G187" s="95" t="s">
        <v>162</v>
      </c>
      <c r="N187" s="77"/>
    </row>
    <row r="188" spans="1:15" ht="16.5" customHeight="1">
      <c r="A188" s="95" t="s">
        <v>259</v>
      </c>
      <c r="D188" s="76"/>
      <c r="G188" s="95" t="s">
        <v>260</v>
      </c>
      <c r="N188" s="77"/>
    </row>
    <row r="189" spans="1:15" ht="16.5" customHeight="1">
      <c r="A189" s="95" t="s">
        <v>261</v>
      </c>
      <c r="D189" s="76"/>
      <c r="N189" s="77"/>
    </row>
    <row r="190" spans="1:15" ht="16.5" customHeight="1">
      <c r="A190" s="95" t="s">
        <v>262</v>
      </c>
      <c r="D190" s="76"/>
      <c r="N190" s="77"/>
    </row>
    <row r="191" spans="1:15" ht="16.5" customHeight="1">
      <c r="A191" s="95" t="s">
        <v>260</v>
      </c>
      <c r="D191" s="76"/>
      <c r="N191" s="77"/>
    </row>
    <row r="192" spans="1:15" ht="16.5" customHeight="1">
      <c r="A192" s="95" t="s">
        <v>263</v>
      </c>
      <c r="D192" s="76"/>
      <c r="N192" s="77"/>
    </row>
    <row r="193" spans="1:14" ht="16.5" customHeight="1">
      <c r="A193" s="95" t="s">
        <v>19</v>
      </c>
      <c r="D193" s="76"/>
      <c r="N193" s="77"/>
    </row>
    <row r="194" spans="1:14" ht="16.5" customHeight="1">
      <c r="D194" s="75"/>
      <c r="E194" s="75"/>
      <c r="F194" s="75"/>
      <c r="G194" s="75"/>
      <c r="L194" s="76"/>
      <c r="N194" s="77"/>
    </row>
    <row r="195" spans="1:14" ht="16.5" customHeight="1">
      <c r="D195" s="75"/>
      <c r="E195" s="96" t="s">
        <v>264</v>
      </c>
      <c r="F195" s="96"/>
      <c r="G195" s="96" t="s">
        <v>7</v>
      </c>
      <c r="L195" s="76"/>
      <c r="N195" s="77"/>
    </row>
    <row r="196" spans="1:14" ht="16.5" customHeight="1">
      <c r="A196" s="68" t="s">
        <v>49</v>
      </c>
      <c r="B196" s="34" t="s">
        <v>49</v>
      </c>
      <c r="C196" s="35" t="s">
        <v>49</v>
      </c>
      <c r="D196" s="59">
        <v>3300000</v>
      </c>
      <c r="E196" s="75">
        <f>SUMIF(Table_1[내용 및 목적],"경조금",Table_1[지출])</f>
        <v>1200000</v>
      </c>
      <c r="F196" s="268">
        <f t="shared" ref="F196:F214" si="0">D196-E196</f>
        <v>2100000</v>
      </c>
      <c r="G196" s="180"/>
      <c r="L196" s="76"/>
      <c r="N196" s="77"/>
    </row>
    <row r="197" spans="1:14" ht="16.5" customHeight="1">
      <c r="A197" s="256" t="s">
        <v>265</v>
      </c>
      <c r="B197" s="34" t="s">
        <v>266</v>
      </c>
      <c r="C197" s="35" t="s">
        <v>247</v>
      </c>
      <c r="D197" s="59">
        <f>214200*3*3</f>
        <v>1927800</v>
      </c>
      <c r="E197" s="75">
        <f>SUMIF(Table_1[내용 및 목적],"국내여비",Table_1[지출])</f>
        <v>0</v>
      </c>
      <c r="F197" s="268">
        <f t="shared" si="0"/>
        <v>1927800</v>
      </c>
      <c r="G197" s="180"/>
      <c r="L197" s="76"/>
      <c r="N197" s="77"/>
    </row>
    <row r="198" spans="1:14" ht="16.5" customHeight="1">
      <c r="A198" s="259"/>
      <c r="B198" s="258" t="s">
        <v>267</v>
      </c>
      <c r="C198" s="35" t="s">
        <v>104</v>
      </c>
      <c r="D198" s="59">
        <f>5000*9*12</f>
        <v>540000</v>
      </c>
      <c r="E198" s="75">
        <f>SUMIF(Table_1[내용 및 목적],"운영위원회의비",Table_1[지출])</f>
        <v>166000</v>
      </c>
      <c r="F198" s="268">
        <f t="shared" si="0"/>
        <v>374000</v>
      </c>
      <c r="G198" s="180"/>
      <c r="L198" s="76"/>
      <c r="N198" s="77"/>
    </row>
    <row r="199" spans="1:14" ht="16.5" customHeight="1">
      <c r="A199" s="259"/>
      <c r="B199" s="259"/>
      <c r="C199" s="35" t="s">
        <v>255</v>
      </c>
      <c r="D199" s="59">
        <v>1000000</v>
      </c>
      <c r="E199" s="75">
        <f>SUMIF(Table_1[내용 및 목적],"대의원선거비",Table_1[지출])</f>
        <v>0</v>
      </c>
      <c r="F199" s="268">
        <f t="shared" si="0"/>
        <v>1000000</v>
      </c>
      <c r="G199" s="180"/>
      <c r="L199" s="76"/>
      <c r="N199" s="77"/>
    </row>
    <row r="200" spans="1:14" ht="16.5" customHeight="1">
      <c r="A200" s="259"/>
      <c r="B200" s="259"/>
      <c r="C200" s="35" t="s">
        <v>244</v>
      </c>
      <c r="D200" s="59">
        <f>50000*8</f>
        <v>400000</v>
      </c>
      <c r="E200" s="75">
        <f>SUMIF(Table_1[내용 및 목적],"조직부회의비",Table_1[지출])</f>
        <v>376000</v>
      </c>
      <c r="F200" s="268">
        <f t="shared" si="0"/>
        <v>24000</v>
      </c>
      <c r="G200" s="180"/>
      <c r="L200" s="76"/>
      <c r="N200" s="77"/>
    </row>
    <row r="201" spans="1:14" ht="16.5" customHeight="1">
      <c r="A201" s="259"/>
      <c r="B201" s="259"/>
      <c r="C201" s="35" t="s">
        <v>223</v>
      </c>
      <c r="D201" s="59">
        <f>50000*4</f>
        <v>200000</v>
      </c>
      <c r="E201" s="75">
        <f>SUMIF(Table_1[내용 및 목적],"정책부회의비",Table_1[지출])</f>
        <v>135000</v>
      </c>
      <c r="F201" s="268">
        <f t="shared" si="0"/>
        <v>65000</v>
      </c>
      <c r="G201" s="180"/>
      <c r="L201" s="76"/>
      <c r="N201" s="77"/>
    </row>
    <row r="202" spans="1:14" ht="16.5" customHeight="1">
      <c r="A202" s="259"/>
      <c r="B202" s="259"/>
      <c r="C202" s="35" t="s">
        <v>243</v>
      </c>
      <c r="D202" s="59">
        <v>200000</v>
      </c>
      <c r="E202" s="75">
        <f>SUMIF(Table_1[내용 및 목적],"대협회의비",Table_1[지출])</f>
        <v>0</v>
      </c>
      <c r="F202" s="268">
        <f t="shared" si="0"/>
        <v>200000</v>
      </c>
      <c r="G202" s="180"/>
      <c r="L202" s="76"/>
      <c r="N202" s="77"/>
    </row>
    <row r="203" spans="1:14" ht="16.5" customHeight="1">
      <c r="A203" s="259"/>
      <c r="B203" s="209"/>
      <c r="C203" s="35" t="s">
        <v>220</v>
      </c>
      <c r="D203" s="59">
        <v>200000</v>
      </c>
      <c r="E203" s="75">
        <f>SUMIF(Table_1[내용 및 목적],"교선회의비",Table_1[지출])</f>
        <v>135000</v>
      </c>
      <c r="F203" s="268">
        <f t="shared" si="0"/>
        <v>65000</v>
      </c>
      <c r="G203" s="180"/>
      <c r="L203" s="76"/>
      <c r="N203" s="77"/>
    </row>
    <row r="204" spans="1:14" ht="16.5" customHeight="1">
      <c r="A204" s="209"/>
      <c r="B204" s="34" t="s">
        <v>268</v>
      </c>
      <c r="C204" s="35" t="s">
        <v>257</v>
      </c>
      <c r="D204" s="59">
        <v>0</v>
      </c>
      <c r="E204" s="75">
        <f>SUMIF(Table_1[내용 및 목적],"사무용품비",Table_1[지출])</f>
        <v>0</v>
      </c>
      <c r="F204" s="268">
        <f t="shared" si="0"/>
        <v>0</v>
      </c>
      <c r="G204" s="180"/>
      <c r="L204" s="76"/>
      <c r="N204" s="77"/>
    </row>
    <row r="205" spans="1:14" ht="16.5" customHeight="1">
      <c r="A205" s="256" t="s">
        <v>269</v>
      </c>
      <c r="B205" s="34" t="s">
        <v>270</v>
      </c>
      <c r="C205" s="47" t="s">
        <v>59</v>
      </c>
      <c r="D205" s="59">
        <f>300000*12</f>
        <v>3600000</v>
      </c>
      <c r="E205" s="75">
        <f>SUMIF(Table_1[내용 및 목적],"의장단활동비",Table_1[지출])</f>
        <v>3383960</v>
      </c>
      <c r="F205" s="268">
        <f t="shared" si="0"/>
        <v>216040</v>
      </c>
      <c r="G205" s="180"/>
      <c r="L205" s="76"/>
      <c r="N205" s="77"/>
    </row>
    <row r="206" spans="1:14" ht="16.5" customHeight="1">
      <c r="A206" s="259"/>
      <c r="B206" s="258" t="s">
        <v>271</v>
      </c>
      <c r="C206" s="47" t="s">
        <v>56</v>
      </c>
      <c r="D206" s="59">
        <v>8000000</v>
      </c>
      <c r="E206" s="75">
        <f>SUMIF(Table_1[내용 및 목적],"조직활동비",Table_1[지출])</f>
        <v>3347700</v>
      </c>
      <c r="F206" s="268">
        <f t="shared" si="0"/>
        <v>4652300</v>
      </c>
      <c r="G206" s="180"/>
      <c r="L206" s="76"/>
      <c r="N206" s="77"/>
    </row>
    <row r="207" spans="1:14" ht="16.5" customHeight="1">
      <c r="A207" s="259"/>
      <c r="B207" s="259"/>
      <c r="C207" s="35" t="s">
        <v>259</v>
      </c>
      <c r="D207" s="59">
        <v>300000</v>
      </c>
      <c r="E207" s="75">
        <f>SUMIF(Table_1[내용 및 목적],"조직원포상비",Table_1[지출])</f>
        <v>0</v>
      </c>
      <c r="F207" s="268">
        <f t="shared" si="0"/>
        <v>300000</v>
      </c>
      <c r="G207" s="180"/>
      <c r="L207" s="76"/>
      <c r="N207" s="77"/>
    </row>
    <row r="208" spans="1:14" ht="16.5" customHeight="1">
      <c r="A208" s="259"/>
      <c r="B208" s="259"/>
      <c r="C208" s="35" t="s">
        <v>261</v>
      </c>
      <c r="D208" s="59">
        <f>20000*200</f>
        <v>4000000</v>
      </c>
      <c r="E208" s="75">
        <f>SUMIF(Table_1[내용 및 목적],"선물비",Table_1[지출])</f>
        <v>0</v>
      </c>
      <c r="F208" s="268">
        <f t="shared" si="0"/>
        <v>4000000</v>
      </c>
      <c r="G208" s="180"/>
      <c r="L208" s="76"/>
      <c r="N208" s="77"/>
    </row>
    <row r="209" spans="1:14" ht="16.5" customHeight="1">
      <c r="A209" s="259"/>
      <c r="B209" s="259"/>
      <c r="C209" s="35" t="s">
        <v>253</v>
      </c>
      <c r="D209" s="59">
        <f>50000*46</f>
        <v>2300000</v>
      </c>
      <c r="E209" s="75">
        <f>SUMIF(Table_1[내용 및 목적],"조직원수련회비",Table_1[지출])</f>
        <v>0</v>
      </c>
      <c r="F209" s="268">
        <f t="shared" si="0"/>
        <v>2300000</v>
      </c>
      <c r="G209" s="180"/>
      <c r="L209" s="76"/>
      <c r="N209" s="77"/>
    </row>
    <row r="210" spans="1:14" ht="16.5" customHeight="1">
      <c r="A210" s="259"/>
      <c r="B210" s="209"/>
      <c r="C210" s="35" t="s">
        <v>256</v>
      </c>
      <c r="D210" s="59"/>
      <c r="E210" s="75">
        <f>SUMIF(Table_1[내용 및 목적],"후원회원행사비",Table_1[지출])</f>
        <v>0</v>
      </c>
      <c r="F210" s="268">
        <f t="shared" si="0"/>
        <v>0</v>
      </c>
      <c r="G210" s="180"/>
      <c r="L210" s="76"/>
      <c r="N210" s="77"/>
    </row>
    <row r="211" spans="1:14" ht="16.5" customHeight="1">
      <c r="A211" s="259"/>
      <c r="B211" s="34" t="s">
        <v>272</v>
      </c>
      <c r="C211" s="35" t="s">
        <v>249</v>
      </c>
      <c r="D211" s="59">
        <v>600000</v>
      </c>
      <c r="E211" s="75">
        <f>SUMIF(Table_1[내용 및 목적],"정책활동비",Table_1[지출])</f>
        <v>0</v>
      </c>
      <c r="F211" s="268">
        <f t="shared" si="0"/>
        <v>600000</v>
      </c>
      <c r="G211" s="180"/>
      <c r="L211" s="76"/>
      <c r="N211" s="77"/>
    </row>
    <row r="212" spans="1:14" ht="16.5" customHeight="1">
      <c r="A212" s="259"/>
      <c r="B212" s="34" t="s">
        <v>273</v>
      </c>
      <c r="C212" s="35" t="s">
        <v>248</v>
      </c>
      <c r="D212" s="59">
        <v>300000</v>
      </c>
      <c r="E212" s="75">
        <f>SUMIF(Table_1[내용 및 목적],"대협활동비",Table_1[지출])</f>
        <v>0</v>
      </c>
      <c r="F212" s="268">
        <f t="shared" si="0"/>
        <v>300000</v>
      </c>
      <c r="G212" s="180"/>
      <c r="L212" s="76"/>
      <c r="N212" s="77"/>
    </row>
    <row r="213" spans="1:14" ht="16.5" customHeight="1">
      <c r="A213" s="259"/>
      <c r="B213" s="258" t="s">
        <v>274</v>
      </c>
      <c r="C213" s="35" t="s">
        <v>252</v>
      </c>
      <c r="D213" s="59">
        <v>500000</v>
      </c>
      <c r="E213" s="75">
        <f>SUMIF(Table_1[내용 및 목적],"대자보비",Table_1[지출])</f>
        <v>0</v>
      </c>
      <c r="F213" s="268">
        <f t="shared" si="0"/>
        <v>500000</v>
      </c>
      <c r="G213" s="180"/>
      <c r="L213" s="76"/>
      <c r="N213" s="77"/>
    </row>
    <row r="214" spans="1:14" ht="16.5" customHeight="1">
      <c r="A214" s="209"/>
      <c r="B214" s="209"/>
      <c r="C214" s="35" t="s">
        <v>242</v>
      </c>
      <c r="D214" s="59">
        <f>800000-400000</f>
        <v>400000</v>
      </c>
      <c r="E214" s="75">
        <f>SUMIF(Table_1[내용 및 목적],"유인물,현수막비",Table_1[지출])</f>
        <v>0</v>
      </c>
      <c r="F214" s="268">
        <f t="shared" si="0"/>
        <v>400000</v>
      </c>
      <c r="G214" s="180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  <row r="1085" spans="4:14" ht="16.5" customHeight="1">
      <c r="D1085" s="75"/>
      <c r="E1085" s="75"/>
      <c r="F1085" s="75"/>
      <c r="G1085" s="75"/>
      <c r="L1085" s="76"/>
      <c r="N1085" s="77"/>
    </row>
  </sheetData>
  <mergeCells count="27">
    <mergeCell ref="O52:O54"/>
    <mergeCell ref="F200:G200"/>
    <mergeCell ref="F206:G206"/>
    <mergeCell ref="F207:G207"/>
    <mergeCell ref="A197:A204"/>
    <mergeCell ref="F204:G204"/>
    <mergeCell ref="F213:G213"/>
    <mergeCell ref="F203:G203"/>
    <mergeCell ref="F210:G210"/>
    <mergeCell ref="B198:B203"/>
    <mergeCell ref="F209:G209"/>
    <mergeCell ref="O29:O49"/>
    <mergeCell ref="B206:B210"/>
    <mergeCell ref="A1:N2"/>
    <mergeCell ref="F214:G214"/>
    <mergeCell ref="F199:G199"/>
    <mergeCell ref="B213:B214"/>
    <mergeCell ref="F211:G211"/>
    <mergeCell ref="F201:G201"/>
    <mergeCell ref="F212:G212"/>
    <mergeCell ref="F197:G197"/>
    <mergeCell ref="F196:G196"/>
    <mergeCell ref="F205:G205"/>
    <mergeCell ref="A205:A214"/>
    <mergeCell ref="F208:G208"/>
    <mergeCell ref="F202:G202"/>
    <mergeCell ref="F198:G198"/>
  </mergeCells>
  <phoneticPr fontId="33" type="noConversion"/>
  <dataValidations disablePrompts="1" count="4">
    <dataValidation type="list" allowBlank="1" showErrorMessage="1" sqref="C5:C107 C141 C147 C162 C169:C170 C166:C167 C176:C179" xr:uid="{00000000-0002-0000-0200-000000000000}">
      <formula1>INDIRECT(B5)</formula1>
    </dataValidation>
    <dataValidation type="list" allowBlank="1" showInputMessage="1" showErrorMessage="1" sqref="A181" xr:uid="{00000000-0002-0000-0200-000001000000}">
      <formula1>INDIRECT(A181)</formula1>
    </dataValidation>
    <dataValidation type="list" allowBlank="1" showInputMessage="1" sqref="C108:C140 C142:C146 C148:C161 C163:C165 C171:C175 C168" xr:uid="{00000000-0002-0000-0200-000002000000}">
      <formula1>INDIRECT($B108)</formula1>
    </dataValidation>
    <dataValidation type="list" allowBlank="1" showErrorMessage="1" sqref="B5:B179" xr:uid="{00000000-0002-0000-0200-000003000000}">
      <formula1>$A$181:$H$181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7" customWidth="1"/>
    <col min="2" max="2" width="11.42578125" style="157" customWidth="1"/>
    <col min="3" max="7" width="13.28515625" style="157" customWidth="1"/>
    <col min="8" max="8" width="57.28515625" style="157" customWidth="1"/>
    <col min="9" max="9" width="9" style="157" customWidth="1"/>
    <col min="10" max="10" width="17.140625" style="157" customWidth="1"/>
    <col min="11" max="26" width="8.7109375" style="157" customWidth="1"/>
  </cols>
  <sheetData>
    <row r="1" spans="1:26" ht="12.75" customHeigh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33" customHeight="1">
      <c r="A2" s="97"/>
      <c r="B2" s="270" t="s">
        <v>342</v>
      </c>
      <c r="C2" s="261"/>
      <c r="D2" s="261"/>
      <c r="E2" s="261"/>
      <c r="F2" s="261"/>
      <c r="G2" s="261"/>
      <c r="H2" s="261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2" customHeight="1">
      <c r="A3" s="97"/>
      <c r="B3" s="98"/>
      <c r="C3" s="98"/>
      <c r="D3" s="98"/>
      <c r="E3" s="98"/>
      <c r="F3" s="98"/>
      <c r="G3" s="98"/>
      <c r="H3" s="98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2" customHeight="1">
      <c r="A4" s="97"/>
      <c r="B4" s="98"/>
      <c r="C4" s="98"/>
      <c r="D4" s="98"/>
      <c r="E4" s="98"/>
      <c r="F4" s="98"/>
      <c r="G4" s="98"/>
      <c r="H4" s="98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28.5" customHeight="1">
      <c r="A5" s="97"/>
      <c r="B5" s="99"/>
      <c r="C5" s="100" t="s">
        <v>343</v>
      </c>
      <c r="D5" s="101" t="s">
        <v>344</v>
      </c>
      <c r="E5" s="101" t="s">
        <v>345</v>
      </c>
      <c r="F5" s="101" t="s">
        <v>346</v>
      </c>
      <c r="G5" s="100" t="s">
        <v>347</v>
      </c>
      <c r="H5" s="100" t="s">
        <v>348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28.5" customHeight="1">
      <c r="A6" s="97"/>
      <c r="B6" s="100" t="s">
        <v>349</v>
      </c>
      <c r="C6" s="102">
        <v>45</v>
      </c>
      <c r="D6" s="102">
        <v>189</v>
      </c>
      <c r="E6" s="103">
        <f t="shared" ref="E6:E14" si="0">C6*20000</f>
        <v>900000</v>
      </c>
      <c r="F6" s="103">
        <f>189*5000+5000</f>
        <v>950000</v>
      </c>
      <c r="G6" s="104">
        <f>SUM(E6:F6)</f>
        <v>1850000</v>
      </c>
      <c r="H6" s="105" t="s">
        <v>350</v>
      </c>
      <c r="I6" s="97"/>
      <c r="J6" s="106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28.5" customHeight="1">
      <c r="A7" s="97"/>
      <c r="B7" s="100" t="s">
        <v>351</v>
      </c>
      <c r="C7" s="102">
        <v>46</v>
      </c>
      <c r="D7" s="102">
        <v>186</v>
      </c>
      <c r="E7" s="103">
        <f t="shared" si="0"/>
        <v>920000</v>
      </c>
      <c r="F7" s="103">
        <f t="shared" ref="F7:F14" si="1">D7*5000+5000</f>
        <v>935000</v>
      </c>
      <c r="G7" s="104">
        <f t="shared" ref="G7:G14" si="2">E7+F7</f>
        <v>1855000</v>
      </c>
      <c r="H7" s="105" t="s">
        <v>352</v>
      </c>
      <c r="I7" s="97"/>
      <c r="J7" s="106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28.5" customHeight="1">
      <c r="A8" s="97"/>
      <c r="B8" s="100" t="s">
        <v>353</v>
      </c>
      <c r="C8" s="102">
        <v>46</v>
      </c>
      <c r="D8" s="102">
        <v>185</v>
      </c>
      <c r="E8" s="103">
        <f t="shared" si="0"/>
        <v>920000</v>
      </c>
      <c r="F8" s="103">
        <f t="shared" si="1"/>
        <v>930000</v>
      </c>
      <c r="G8" s="104">
        <f t="shared" si="2"/>
        <v>1850000</v>
      </c>
      <c r="H8" s="105" t="s">
        <v>354</v>
      </c>
      <c r="I8" s="97"/>
      <c r="J8" s="106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 ht="28.5" customHeight="1">
      <c r="A9" s="97"/>
      <c r="B9" s="100" t="s">
        <v>355</v>
      </c>
      <c r="C9" s="102">
        <v>46</v>
      </c>
      <c r="D9" s="107">
        <v>186</v>
      </c>
      <c r="E9" s="103">
        <f t="shared" si="0"/>
        <v>920000</v>
      </c>
      <c r="F9" s="103">
        <f t="shared" si="1"/>
        <v>935000</v>
      </c>
      <c r="G9" s="104">
        <f t="shared" si="2"/>
        <v>1855000</v>
      </c>
      <c r="H9" s="105" t="s">
        <v>356</v>
      </c>
      <c r="I9" s="97"/>
      <c r="J9" s="106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8.5" customHeight="1">
      <c r="A10" s="97"/>
      <c r="B10" s="100" t="s">
        <v>357</v>
      </c>
      <c r="C10" s="102">
        <v>46</v>
      </c>
      <c r="D10" s="107">
        <v>187</v>
      </c>
      <c r="E10" s="103">
        <f t="shared" si="0"/>
        <v>920000</v>
      </c>
      <c r="F10" s="103">
        <f t="shared" si="1"/>
        <v>940000</v>
      </c>
      <c r="G10" s="104">
        <f t="shared" si="2"/>
        <v>1860000</v>
      </c>
      <c r="H10" s="105" t="s">
        <v>358</v>
      </c>
      <c r="I10" s="97"/>
      <c r="J10" s="106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8.5" customHeight="1">
      <c r="A11" s="97"/>
      <c r="B11" s="100" t="s">
        <v>359</v>
      </c>
      <c r="C11" s="102">
        <v>46</v>
      </c>
      <c r="D11" s="102">
        <v>187</v>
      </c>
      <c r="E11" s="103">
        <f t="shared" si="0"/>
        <v>920000</v>
      </c>
      <c r="F11" s="103">
        <f t="shared" si="1"/>
        <v>940000</v>
      </c>
      <c r="G11" s="104">
        <f t="shared" si="2"/>
        <v>1860000</v>
      </c>
      <c r="H11" s="105" t="s">
        <v>360</v>
      </c>
      <c r="I11" s="97"/>
      <c r="J11" s="106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8.5" customHeight="1">
      <c r="A12" s="97"/>
      <c r="B12" s="100" t="s">
        <v>361</v>
      </c>
      <c r="C12" s="102">
        <v>46</v>
      </c>
      <c r="D12" s="102">
        <v>188</v>
      </c>
      <c r="E12" s="103">
        <f t="shared" si="0"/>
        <v>920000</v>
      </c>
      <c r="F12" s="103">
        <f t="shared" si="1"/>
        <v>945000</v>
      </c>
      <c r="G12" s="104">
        <f t="shared" si="2"/>
        <v>1865000</v>
      </c>
      <c r="H12" s="105" t="s">
        <v>362</v>
      </c>
      <c r="I12" s="97"/>
      <c r="J12" s="106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8.5" customHeight="1">
      <c r="A13" s="97"/>
      <c r="B13" s="100" t="s">
        <v>363</v>
      </c>
      <c r="C13" s="102">
        <v>46</v>
      </c>
      <c r="D13" s="102">
        <v>189</v>
      </c>
      <c r="E13" s="103">
        <f t="shared" si="0"/>
        <v>920000</v>
      </c>
      <c r="F13" s="103">
        <f t="shared" si="1"/>
        <v>950000</v>
      </c>
      <c r="G13" s="104">
        <f t="shared" si="2"/>
        <v>1870000</v>
      </c>
      <c r="H13" s="105" t="s">
        <v>411</v>
      </c>
      <c r="I13" s="97"/>
      <c r="J13" s="106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8.5" customHeight="1">
      <c r="A14" s="97"/>
      <c r="B14" s="100" t="s">
        <v>364</v>
      </c>
      <c r="C14" s="102">
        <v>46</v>
      </c>
      <c r="D14" s="102">
        <v>191</v>
      </c>
      <c r="E14" s="103">
        <f t="shared" si="0"/>
        <v>920000</v>
      </c>
      <c r="F14" s="103">
        <f t="shared" si="1"/>
        <v>960000</v>
      </c>
      <c r="G14" s="104">
        <f t="shared" si="2"/>
        <v>1880000</v>
      </c>
      <c r="H14" s="105" t="s">
        <v>410</v>
      </c>
      <c r="I14" s="97"/>
      <c r="J14" s="106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8.5" customHeight="1">
      <c r="A15" s="97"/>
      <c r="B15" s="100" t="s">
        <v>365</v>
      </c>
      <c r="C15" s="102"/>
      <c r="D15" s="102"/>
      <c r="E15" s="103"/>
      <c r="F15" s="103"/>
      <c r="G15" s="104"/>
      <c r="H15" s="105"/>
      <c r="I15" s="97"/>
      <c r="J15" s="106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8.5" customHeight="1">
      <c r="A16" s="97"/>
      <c r="B16" s="100" t="s">
        <v>366</v>
      </c>
      <c r="C16" s="102"/>
      <c r="D16" s="102"/>
      <c r="E16" s="103"/>
      <c r="F16" s="103"/>
      <c r="G16" s="104"/>
      <c r="H16" s="105"/>
      <c r="I16" s="97"/>
      <c r="J16" s="106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8.5" customHeight="1">
      <c r="A17" s="97"/>
      <c r="B17" s="100" t="s">
        <v>367</v>
      </c>
      <c r="C17" s="102"/>
      <c r="D17" s="102"/>
      <c r="E17" s="103"/>
      <c r="F17" s="103"/>
      <c r="G17" s="104"/>
      <c r="H17" s="105"/>
      <c r="I17" s="97"/>
      <c r="J17" s="106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7"/>
      <c r="B18" s="108" t="s">
        <v>368</v>
      </c>
      <c r="C18" s="102"/>
      <c r="D18" s="102"/>
      <c r="E18" s="109">
        <f>SUM(E6:E17)</f>
        <v>8260000</v>
      </c>
      <c r="F18" s="109">
        <f>SUM(F6:F17)</f>
        <v>8485000</v>
      </c>
      <c r="G18" s="109">
        <f>SUM(G6:G17)</f>
        <v>16745000</v>
      </c>
      <c r="H18" s="110"/>
      <c r="I18" s="97"/>
      <c r="J18" s="106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46.5" customHeight="1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7" customHeight="1">
      <c r="A20" s="97"/>
      <c r="B20" s="115" t="s">
        <v>369</v>
      </c>
      <c r="C20" s="112"/>
      <c r="D20" s="112"/>
      <c r="E20" s="113"/>
      <c r="F20" s="113"/>
      <c r="G20" s="153">
        <f>SUMIFS('3. 5기 수입지출장부'!$D$5:$D$2007,'3. 5기 수입지출장부'!$C$5:$C$2007,"재정사업")</f>
        <v>3308400</v>
      </c>
      <c r="H20" s="110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3.75" customHeight="1">
      <c r="A21" s="97"/>
      <c r="B21" s="111"/>
      <c r="C21" s="112"/>
      <c r="D21" s="112"/>
      <c r="E21" s="113"/>
      <c r="F21" s="113"/>
      <c r="G21" s="114"/>
      <c r="H21" s="11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2.5" customHeight="1">
      <c r="A22" s="97"/>
      <c r="B22" s="115" t="s">
        <v>370</v>
      </c>
      <c r="C22" s="112"/>
      <c r="D22" s="112"/>
      <c r="E22" s="113"/>
      <c r="F22" s="113"/>
      <c r="G22" s="153">
        <f>SUMIFS('3. 5기 수입지출장부'!$D$5:$D$2007,'3. 5기 수입지출장부'!$C$5:$C$2007,"이자수입")</f>
        <v>13300</v>
      </c>
      <c r="H22" s="11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5.25" customHeight="1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24" customHeight="1">
      <c r="A24" s="97"/>
      <c r="B24" s="115" t="s">
        <v>371</v>
      </c>
      <c r="C24" s="112"/>
      <c r="D24" s="112"/>
      <c r="E24" s="113"/>
      <c r="F24" s="113"/>
      <c r="G24" s="153">
        <f>G18+G20+G22</f>
        <v>20066700</v>
      </c>
      <c r="H24" s="108" t="s">
        <v>372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2.75" customHeight="1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2.75" customHeight="1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2.75" customHeight="1">
      <c r="A27" s="97"/>
      <c r="B27" s="116"/>
      <c r="C27" s="97"/>
      <c r="D27" s="97"/>
      <c r="E27" s="97"/>
      <c r="F27" s="97"/>
      <c r="G27" s="11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2.75" customHeight="1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2.75" customHeight="1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2.75" customHeight="1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2.75" customHeight="1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2.75" customHeight="1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2.75" customHeight="1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2.75" customHeight="1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2.75" customHeight="1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2.75" customHeight="1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2.75" customHeight="1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2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2.75" customHeight="1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2.75" customHeight="1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2.75" customHeight="1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2.75" customHeight="1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2.75" customHeight="1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2.75" customHeight="1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2.75" customHeight="1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2.75" customHeight="1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2.75" customHeight="1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2.75" customHeight="1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2.75" customHeight="1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2.75" customHeight="1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2.75" customHeight="1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2.75" customHeight="1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2.75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2.75" customHeight="1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2.75" customHeight="1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2.75" customHeight="1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2.75" customHeight="1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2.75" customHeigh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2.75" customHeight="1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2.75" customHeight="1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2.75" customHeight="1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2.75" customHeight="1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2.75" customHeight="1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2.75" customHeight="1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2.75" customHeight="1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2.75" customHeight="1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2.75" customHeight="1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2.75" customHeight="1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2.75" customHeight="1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2.75" customHeight="1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2.75" customHeight="1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2.75" customHeight="1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2.75" customHeight="1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2.75" customHeight="1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2.75" customHeight="1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2.75" customHeight="1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2.75" customHeight="1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2.75" customHeight="1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2.75" customHeight="1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2.75" customHeight="1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2.75" customHeight="1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2.75" customHeight="1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2.75" customHeight="1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2.75" customHeight="1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2.75" customHeight="1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2.75" customHeight="1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2.75" customHeight="1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2.75" customHeight="1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2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2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2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2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2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2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2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2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2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2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2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2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2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2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2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2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2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2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2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2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2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2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2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2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2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2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2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2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2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2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2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2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2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2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2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2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2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2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2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2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2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2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2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2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2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2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2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2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2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2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2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2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2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2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2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2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2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2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2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2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2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2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2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2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2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2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2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2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2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2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2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2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2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2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2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2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2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2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2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2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2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2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2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2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2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2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2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2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2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2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2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2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2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2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2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2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2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2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2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2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2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2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2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2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2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2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2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2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2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2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2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2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2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2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2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2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2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2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2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2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2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2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2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2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2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2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2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2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2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2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2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2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2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2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2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2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2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2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2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2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2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2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2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2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2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2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2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2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2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2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2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2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2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2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2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2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2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2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2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2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2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2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2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2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2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2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2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2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2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2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2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2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2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2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2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2.75" customHeigh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2.75" customHeigh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2.75" customHeigh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2.75" customHeigh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2.75" customHeigh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2.75" customHeigh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2.75" customHeigh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2.75" customHeigh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2.75" customHeigh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2.75" customHeigh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2.75" customHeigh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2.75" customHeigh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2.75" customHeigh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2.75" customHeigh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2.75" customHeigh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2.75" customHeigh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2.75" customHeigh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2.75" customHeigh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2.75" customHeigh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2.75" customHeigh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2.75" customHeigh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2.75" customHeigh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2.75" customHeigh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2.75" customHeigh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2.75" customHeigh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2.75" customHeigh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2.75" customHeigh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2.75" customHeigh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2.75" customHeigh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2.75" customHeigh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2.75" customHeigh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2.75" customHeigh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2.75" customHeigh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2.75" customHeigh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2.75" customHeigh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2.75" customHeigh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2.75" customHeigh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2.75" customHeigh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2.75" customHeigh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2.75" customHeigh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2.75" customHeigh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2.75" customHeigh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2.75" customHeigh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2.75" customHeigh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2.75" customHeigh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2.75" customHeigh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2.75" customHeigh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2.75" customHeigh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2.75" customHeigh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2.75" customHeigh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2.75" customHeigh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2.75" customHeigh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2.75" customHeigh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2.75" customHeigh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2.75" customHeigh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2.75" customHeigh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2.75" customHeigh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2.75" customHeigh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2.75" customHeigh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2.75" customHeigh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2.75" customHeigh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2.75" customHeigh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2.75" customHeigh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2.75" customHeigh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2.75" customHeigh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2.75" customHeigh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2.75" customHeigh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2.75" customHeigh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2.75" customHeigh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2.75" customHeigh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2.75" customHeigh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2.75" customHeigh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2.75" customHeigh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2.75" customHeigh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2.75" customHeigh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2.75" customHeigh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2.75" customHeigh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2.75" customHeigh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2.75" customHeigh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2.75" customHeigh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2.75" customHeigh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2.75" customHeigh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2.75" customHeigh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2.75" customHeigh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2.75" customHeigh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2.75" customHeigh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2.75" customHeigh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2.75" customHeigh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2.75" customHeigh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2.75" customHeigh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2.75" customHeigh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2.75" customHeigh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2.75" customHeigh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2.75" customHeigh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2.75" customHeigh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2.75" customHeigh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2.75" customHeigh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2.75" customHeigh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2.75" customHeigh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2.75" customHeigh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2.75" customHeigh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2.75" customHeigh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2.75" customHeigh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2.75" customHeigh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2.75" customHeigh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2.75" customHeigh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2.75" customHeigh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2.75" customHeigh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2.75" customHeigh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2.75" customHeigh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2.75" customHeigh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2.75" customHeigh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2.75" customHeigh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2.75" customHeigh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2.75" customHeigh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2.75" customHeigh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2.75" customHeigh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2.75" customHeigh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2.75" customHeigh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2.75" customHeigh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2.75" customHeigh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2.75" customHeigh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2.75" customHeigh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2.75" customHeigh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2.75" customHeigh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2.75" customHeigh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2.75" customHeigh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2.75" customHeigh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2.75" customHeigh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2.75" customHeigh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2.75" customHeigh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2.75" customHeigh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2.75" customHeigh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2.75" customHeigh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2.75" customHeigh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2.75" customHeigh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2.75" customHeigh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2.75" customHeigh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2.75" customHeigh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2.75" customHeigh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2.75" customHeigh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2.75" customHeigh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2.75" customHeigh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2.75" customHeigh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2.75" customHeigh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2.75" customHeigh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2.75" customHeigh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2.75" customHeigh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2.75" customHeigh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2.75" customHeigh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2.75" customHeigh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2.75" customHeigh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2.75" customHeigh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2.75" customHeigh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2.75" customHeigh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2.75" customHeigh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2.75" customHeigh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2.75" customHeigh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2.75" customHeigh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2.75" customHeigh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2.75" customHeigh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2.75" customHeigh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2.75" customHeigh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2.75" customHeigh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2.75" customHeigh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2.75" customHeigh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2.75" customHeigh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2.75" customHeigh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2.75" customHeigh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2.75" customHeigh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2.75" customHeigh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2.75" customHeigh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2.75" customHeigh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2.75" customHeigh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2.75" customHeigh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2.75" customHeigh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2.75" customHeigh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2.75" customHeigh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2.75" customHeigh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2.75" customHeigh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2.75" customHeigh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2.75" customHeigh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2.75" customHeigh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2.75" customHeigh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2.75" customHeigh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2.75" customHeigh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2.75" customHeigh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2.75" customHeigh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2.75" customHeigh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2.75" customHeigh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2.75" customHeigh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2.75" customHeigh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2.75" customHeigh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2.75" customHeigh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2.75" customHeigh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2.75" customHeigh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2.75" customHeigh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2.75" customHeigh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2.75" customHeigh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2.75" customHeigh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2.75" customHeigh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2.75" customHeigh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2.75" customHeigh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2.75" customHeigh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2.75" customHeigh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2.75" customHeigh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2.75" customHeigh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2.75" customHeigh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2.75" customHeigh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2.75" customHeigh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2.75" customHeigh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2.75" customHeigh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2.75" customHeigh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2.75" customHeigh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2.75" customHeigh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2.75" customHeigh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2.75" customHeigh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2.75" customHeigh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2.75" customHeigh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2.75" customHeigh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2.75" customHeigh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2.75" customHeigh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2.75" customHeigh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2.75" customHeigh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2.75" customHeigh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2.75" customHeigh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2.75" customHeigh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2.75" customHeigh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2.75" customHeigh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2.75" customHeigh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2.75" customHeigh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2.75" customHeigh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2.75" customHeigh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2.75" customHeigh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2.75" customHeigh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2.75" customHeigh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2.75" customHeigh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2.75" customHeigh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2.75" customHeigh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2.75" customHeigh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2.75" customHeigh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2.75" customHeigh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2.75" customHeigh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2.75" customHeigh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2.75" customHeigh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2.75" customHeigh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2.75" customHeigh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2.75" customHeigh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2.75" customHeigh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2.75" customHeigh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2.75" customHeigh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2.75" customHeigh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2.75" customHeigh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2.75" customHeigh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2.75" customHeigh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2.75" customHeigh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2.75" customHeigh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2.75" customHeigh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2.75" customHeigh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2.75" customHeigh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2.75" customHeigh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2.75" customHeigh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2.75" customHeigh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2.75" customHeigh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2.75" customHeigh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2.75" customHeigh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2.75" customHeigh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2.75" customHeigh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2.75" customHeigh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2.75" customHeigh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2.75" customHeigh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2.75" customHeigh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2.75" customHeigh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2.75" customHeigh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2.75" customHeigh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2.75" customHeigh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2.75" customHeigh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2.75" customHeigh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2.75" customHeigh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2.75" customHeigh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2.75" customHeigh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2.75" customHeigh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2.75" customHeigh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2.75" customHeigh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2.75" customHeigh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2.75" customHeigh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2.75" customHeigh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2.75" customHeigh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2.75" customHeigh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2.75" customHeigh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2.75" customHeigh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2.75" customHeigh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2.75" customHeigh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2.75" customHeigh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2.75" customHeigh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2.75" customHeigh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2.75" customHeigh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2.75" customHeigh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2.75" customHeigh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2.75" customHeigh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2.75" customHeigh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2.75" customHeigh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2.75" customHeigh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2.75" customHeigh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2.75" customHeigh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2.75" customHeigh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2.75" customHeigh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2.75" customHeigh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2.75" customHeigh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2.75" customHeigh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2.75" customHeigh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2.75" customHeigh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2.75" customHeigh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2.75" customHeigh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2.75" customHeigh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2.75" customHeigh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2.75" customHeigh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2.75" customHeigh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2.75" customHeigh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2.75" customHeigh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2.75" customHeigh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2.75" customHeigh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2.75" customHeigh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2.75" customHeigh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2.75" customHeigh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2.75" customHeigh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2.75" customHeigh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2.75" customHeigh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2.75" customHeigh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2.75" customHeigh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2.75" customHeigh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2.75" customHeigh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2.75" customHeigh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2.75" customHeigh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2.75" customHeigh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2.75" customHeigh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2.75" customHeigh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2.75" customHeigh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2.75" customHeigh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2.75" customHeigh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2.75" customHeigh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2.75" customHeigh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2.75" customHeigh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2.75" customHeigh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2.75" customHeigh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2.75" customHeigh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2.75" customHeigh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2.75" customHeigh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2.75" customHeigh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2.75" customHeigh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2.75" customHeigh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2.75" customHeigh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2.75" customHeigh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2.75" customHeigh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2.75" customHeigh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2.75" customHeigh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2.75" customHeigh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2.75" customHeigh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2.75" customHeigh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2.75" customHeigh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2.75" customHeigh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2.75" customHeigh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2.75" customHeigh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2.75" customHeigh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2.75" customHeigh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2.75" customHeigh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2.75" customHeigh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2.75" customHeigh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2.75" customHeigh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2.75" customHeigh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2.75" customHeigh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2.75" customHeigh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2.75" customHeigh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2.75" customHeigh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2.75" customHeigh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2.75" customHeigh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2.75" customHeigh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2.75" customHeigh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2.75" customHeigh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2.75" customHeigh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2.75" customHeigh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2.75" customHeigh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2.75" customHeigh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2.75" customHeigh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2.75" customHeigh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2.75" customHeigh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2.75" customHeigh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2.75" customHeigh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2.75" customHeigh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2.75" customHeigh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2.75" customHeigh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2.75" customHeigh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2.75" customHeigh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2.75" customHeigh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2.75" customHeigh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2.75" customHeigh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2.75" customHeigh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2.75" customHeigh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2.75" customHeigh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2.75" customHeigh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2.75" customHeigh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2.75" customHeigh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2.75" customHeigh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2.75" customHeigh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2.75" customHeigh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2.75" customHeigh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2.75" customHeigh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2.75" customHeigh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2.75" customHeigh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2.75" customHeigh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2.75" customHeigh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2.75" customHeigh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2.75" customHeigh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2.75" customHeigh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2.75" customHeigh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2.75" customHeigh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2.75" customHeigh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2.75" customHeigh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2.75" customHeigh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2.75" customHeigh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2.75" customHeigh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2.75" customHeigh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2.75" customHeigh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2.75" customHeigh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2.75" customHeigh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2.75" customHeigh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2.75" customHeigh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2.75" customHeigh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2.75" customHeigh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2.75" customHeigh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2.75" customHeigh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2.75" customHeigh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2.75" customHeigh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2.75" customHeigh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2.75" customHeigh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2.75" customHeigh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2.75" customHeigh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2.75" customHeigh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2.75" customHeigh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2.75" customHeigh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2.75" customHeigh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2.75" customHeigh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2.75" customHeigh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2.75" customHeigh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2.75" customHeigh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2.75" customHeigh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2.75" customHeigh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2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2.75" customHeigh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2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2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2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2.75" customHeigh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2.75" customHeigh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2.75" customHeigh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2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2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2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2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2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2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2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2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2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2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2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2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2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2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2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2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2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2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2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2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2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2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2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2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2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2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2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2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2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2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2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2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2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2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2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2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2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2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2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2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2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2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2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2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2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2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2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2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2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2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2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2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2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2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2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2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2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2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2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2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2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2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2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2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2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2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2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2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2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2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2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2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2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2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2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2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2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2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2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2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2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2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2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2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2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2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2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2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2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2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2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2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2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2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2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2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2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2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2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2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2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2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2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2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2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2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2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2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2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2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2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2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2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2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2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2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2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2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2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2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2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2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2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2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2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2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2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2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2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2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2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2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2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2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2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2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2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2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2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2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2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2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2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2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2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2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2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2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2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2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2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2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2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2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2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2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2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2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2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2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2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2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2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2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2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2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2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2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2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2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2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2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2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2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2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2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2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2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2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2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2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2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2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2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2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2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2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2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2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2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2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2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2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2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2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2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2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2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2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2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2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2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2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2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2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2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2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2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2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2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2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2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2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2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2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2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2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2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2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2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2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2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2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2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2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2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2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2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2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2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2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2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2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2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2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2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2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2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2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2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2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2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2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2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2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2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2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2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2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2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2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2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2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2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2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2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2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2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2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2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2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2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2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2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2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2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2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2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2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2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2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2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2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2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2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2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activeCell="F20" sqref="F20"/>
    </sheetView>
  </sheetViews>
  <sheetFormatPr defaultRowHeight="15"/>
  <cols>
    <col min="1" max="1" width="3" style="157" customWidth="1"/>
    <col min="2" max="2" width="12" style="157" customWidth="1"/>
    <col min="3" max="3" width="16" style="157" customWidth="1"/>
    <col min="4" max="6" width="13" style="157" customWidth="1"/>
    <col min="7" max="7" width="10" style="157" customWidth="1"/>
    <col min="8" max="8" width="3" style="157" customWidth="1"/>
    <col min="9" max="12" width="12" style="157" customWidth="1"/>
    <col min="13" max="14" width="3" style="157" customWidth="1"/>
  </cols>
  <sheetData>
    <row r="1" spans="1:12" ht="32.1" customHeight="1">
      <c r="A1" s="281" t="s">
        <v>373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</row>
    <row r="2" spans="1:12" ht="18" customHeight="1">
      <c r="A2" s="279" t="s">
        <v>374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12" ht="8.1" customHeight="1"/>
    <row r="4" spans="1:12" ht="15.95" customHeight="1">
      <c r="B4" s="272" t="s">
        <v>375</v>
      </c>
      <c r="C4" s="180"/>
      <c r="D4" s="272" t="s">
        <v>376</v>
      </c>
      <c r="E4" s="180"/>
      <c r="F4" s="272" t="s">
        <v>377</v>
      </c>
      <c r="G4" s="180"/>
      <c r="I4" s="272" t="s">
        <v>378</v>
      </c>
      <c r="J4" s="180"/>
      <c r="K4" s="272" t="s">
        <v>379</v>
      </c>
      <c r="L4" s="180"/>
    </row>
    <row r="5" spans="1:12" ht="21.95" customHeight="1">
      <c r="B5" s="282">
        <f>'2. 5기_예산목간'!D59</f>
        <v>43098091</v>
      </c>
      <c r="C5" s="277"/>
      <c r="D5" s="282">
        <f>SUM('3. 5기 수입지출장부'!E196:E214)</f>
        <v>8743660</v>
      </c>
      <c r="E5" s="277"/>
      <c r="F5" s="282">
        <f>LOOKUP(9.99E+307,Table_1[잔액])</f>
        <v>31440691</v>
      </c>
      <c r="G5" s="277"/>
      <c r="I5" s="276">
        <f>D5/B5</f>
        <v>0.2028781274790106</v>
      </c>
      <c r="J5" s="277"/>
      <c r="K5" s="273">
        <f>SUM(Table_1[지출])-D5</f>
        <v>2913740</v>
      </c>
      <c r="L5" s="274"/>
    </row>
    <row r="6" spans="1:12" ht="21.95" customHeight="1">
      <c r="B6" s="278"/>
      <c r="C6" s="278"/>
      <c r="D6" s="278"/>
      <c r="E6" s="278"/>
      <c r="F6" s="278"/>
      <c r="G6" s="278"/>
      <c r="I6" s="278"/>
      <c r="J6" s="278"/>
      <c r="K6" s="275"/>
      <c r="L6" s="275"/>
    </row>
    <row r="7" spans="1:12" ht="6" customHeight="1"/>
    <row r="8" spans="1:12" ht="9.9499999999999993" customHeight="1"/>
    <row r="9" spans="1:12" ht="19.5">
      <c r="A9" s="280" t="s">
        <v>380</v>
      </c>
      <c r="B9" s="180"/>
      <c r="C9" s="180"/>
      <c r="D9" s="180"/>
      <c r="E9" s="180"/>
      <c r="F9" s="180"/>
      <c r="G9" s="180"/>
    </row>
    <row r="10" spans="1:12" ht="21.95" customHeight="1">
      <c r="B10" s="158" t="s">
        <v>301</v>
      </c>
      <c r="C10" s="158" t="s">
        <v>381</v>
      </c>
      <c r="D10" s="158" t="s">
        <v>382</v>
      </c>
      <c r="E10" s="158" t="s">
        <v>280</v>
      </c>
      <c r="F10" s="158" t="s">
        <v>7</v>
      </c>
      <c r="G10" s="158" t="s">
        <v>383</v>
      </c>
    </row>
    <row r="11" spans="1:12" ht="20.100000000000001" customHeight="1">
      <c r="B11" s="159" t="s">
        <v>49</v>
      </c>
      <c r="C11" s="160" t="s">
        <v>49</v>
      </c>
      <c r="D11" s="161">
        <f>'3. 5기 수입지출장부'!D196</f>
        <v>3300000</v>
      </c>
      <c r="E11" s="162">
        <f>'3. 5기 수입지출장부'!E196</f>
        <v>1200000</v>
      </c>
      <c r="F11" s="163">
        <f>'3. 5기 수입지출장부'!F196</f>
        <v>2100000</v>
      </c>
      <c r="G11" s="164">
        <f t="shared" ref="G11:G29" si="0">IFERROR(E11/D11,0)</f>
        <v>0.36363636363636365</v>
      </c>
    </row>
    <row r="12" spans="1:12" ht="20.100000000000001" customHeight="1">
      <c r="B12" s="165" t="s">
        <v>265</v>
      </c>
      <c r="C12" s="166" t="s">
        <v>247</v>
      </c>
      <c r="D12" s="167">
        <f>'3. 5기 수입지출장부'!D197</f>
        <v>1927800</v>
      </c>
      <c r="E12" s="168">
        <f>'3. 5기 수입지출장부'!E197</f>
        <v>0</v>
      </c>
      <c r="F12" s="169">
        <f>'3. 5기 수입지출장부'!F197</f>
        <v>1927800</v>
      </c>
      <c r="G12" s="170">
        <f t="shared" si="0"/>
        <v>0</v>
      </c>
    </row>
    <row r="13" spans="1:12" ht="20.100000000000001" customHeight="1">
      <c r="B13" s="159" t="s">
        <v>265</v>
      </c>
      <c r="C13" s="160" t="s">
        <v>104</v>
      </c>
      <c r="D13" s="161">
        <f>'3. 5기 수입지출장부'!D198</f>
        <v>540000</v>
      </c>
      <c r="E13" s="162">
        <f>'3. 5기 수입지출장부'!E198</f>
        <v>166000</v>
      </c>
      <c r="F13" s="163">
        <f>'3. 5기 수입지출장부'!F198</f>
        <v>374000</v>
      </c>
      <c r="G13" s="164">
        <f t="shared" si="0"/>
        <v>0.30740740740740741</v>
      </c>
    </row>
    <row r="14" spans="1:12" ht="20.100000000000001" customHeight="1">
      <c r="B14" s="165" t="s">
        <v>265</v>
      </c>
      <c r="C14" s="166" t="s">
        <v>255</v>
      </c>
      <c r="D14" s="167">
        <f>'3. 5기 수입지출장부'!D199</f>
        <v>1000000</v>
      </c>
      <c r="E14" s="168">
        <f>'3. 5기 수입지출장부'!E199</f>
        <v>0</v>
      </c>
      <c r="F14" s="169">
        <f>'3. 5기 수입지출장부'!F199</f>
        <v>1000000</v>
      </c>
      <c r="G14" s="170">
        <f t="shared" si="0"/>
        <v>0</v>
      </c>
    </row>
    <row r="15" spans="1:12" ht="20.100000000000001" customHeight="1">
      <c r="B15" s="159" t="s">
        <v>265</v>
      </c>
      <c r="C15" s="160" t="s">
        <v>244</v>
      </c>
      <c r="D15" s="161">
        <f>'3. 5기 수입지출장부'!D200</f>
        <v>400000</v>
      </c>
      <c r="E15" s="162">
        <f>'3. 5기 수입지출장부'!E200</f>
        <v>376000</v>
      </c>
      <c r="F15" s="163">
        <f>'3. 5기 수입지출장부'!F200</f>
        <v>24000</v>
      </c>
      <c r="G15" s="164">
        <f t="shared" si="0"/>
        <v>0.94</v>
      </c>
    </row>
    <row r="16" spans="1:12" ht="20.100000000000001" customHeight="1">
      <c r="B16" s="165" t="s">
        <v>265</v>
      </c>
      <c r="C16" s="166" t="s">
        <v>223</v>
      </c>
      <c r="D16" s="167">
        <f>'3. 5기 수입지출장부'!D201</f>
        <v>200000</v>
      </c>
      <c r="E16" s="168">
        <f>'3. 5기 수입지출장부'!E201</f>
        <v>135000</v>
      </c>
      <c r="F16" s="169">
        <f>'3. 5기 수입지출장부'!F201</f>
        <v>65000</v>
      </c>
      <c r="G16" s="170">
        <f t="shared" si="0"/>
        <v>0.67500000000000004</v>
      </c>
    </row>
    <row r="17" spans="1:12" ht="20.100000000000001" customHeight="1">
      <c r="B17" s="159" t="s">
        <v>265</v>
      </c>
      <c r="C17" s="160" t="s">
        <v>243</v>
      </c>
      <c r="D17" s="161">
        <f>'3. 5기 수입지출장부'!D202</f>
        <v>200000</v>
      </c>
      <c r="E17" s="162">
        <f>'3. 5기 수입지출장부'!E202</f>
        <v>0</v>
      </c>
      <c r="F17" s="163">
        <f>'3. 5기 수입지출장부'!F202</f>
        <v>200000</v>
      </c>
      <c r="G17" s="164">
        <f t="shared" si="0"/>
        <v>0</v>
      </c>
    </row>
    <row r="18" spans="1:12" ht="20.100000000000001" customHeight="1">
      <c r="B18" s="165" t="s">
        <v>265</v>
      </c>
      <c r="C18" s="166" t="s">
        <v>220</v>
      </c>
      <c r="D18" s="167">
        <f>'3. 5기 수입지출장부'!D203</f>
        <v>200000</v>
      </c>
      <c r="E18" s="168">
        <f>'3. 5기 수입지출장부'!E203</f>
        <v>135000</v>
      </c>
      <c r="F18" s="169">
        <f>'3. 5기 수입지출장부'!F203</f>
        <v>65000</v>
      </c>
      <c r="G18" s="170">
        <f t="shared" si="0"/>
        <v>0.67500000000000004</v>
      </c>
    </row>
    <row r="19" spans="1:12" ht="20.100000000000001" customHeight="1">
      <c r="B19" s="159" t="s">
        <v>265</v>
      </c>
      <c r="C19" s="160" t="s">
        <v>257</v>
      </c>
      <c r="D19" s="161">
        <f>'3. 5기 수입지출장부'!D204</f>
        <v>0</v>
      </c>
      <c r="E19" s="162">
        <f>'3. 5기 수입지출장부'!E204</f>
        <v>0</v>
      </c>
      <c r="F19" s="163">
        <f>'3. 5기 수입지출장부'!F204</f>
        <v>0</v>
      </c>
      <c r="G19" s="164">
        <f t="shared" si="0"/>
        <v>0</v>
      </c>
    </row>
    <row r="20" spans="1:12" ht="20.100000000000001" customHeight="1">
      <c r="B20" s="165" t="s">
        <v>269</v>
      </c>
      <c r="C20" s="166" t="s">
        <v>59</v>
      </c>
      <c r="D20" s="167">
        <f>'3. 5기 수입지출장부'!D205</f>
        <v>3600000</v>
      </c>
      <c r="E20" s="168">
        <f>'3. 5기 수입지출장부'!E205</f>
        <v>3383960</v>
      </c>
      <c r="F20" s="169">
        <f>'3. 5기 수입지출장부'!F205</f>
        <v>216040</v>
      </c>
      <c r="G20" s="170">
        <f t="shared" si="0"/>
        <v>0.93998888888888887</v>
      </c>
    </row>
    <row r="21" spans="1:12" ht="20.100000000000001" customHeight="1">
      <c r="B21" s="159" t="s">
        <v>269</v>
      </c>
      <c r="C21" s="160" t="s">
        <v>56</v>
      </c>
      <c r="D21" s="161">
        <f>'3. 5기 수입지출장부'!D206</f>
        <v>8000000</v>
      </c>
      <c r="E21" s="162">
        <f>'3. 5기 수입지출장부'!E206</f>
        <v>3347700</v>
      </c>
      <c r="F21" s="163">
        <f>'3. 5기 수입지출장부'!F206</f>
        <v>4652300</v>
      </c>
      <c r="G21" s="164">
        <f t="shared" si="0"/>
        <v>0.41846250000000002</v>
      </c>
    </row>
    <row r="22" spans="1:12" ht="20.100000000000001" customHeight="1">
      <c r="B22" s="165" t="s">
        <v>269</v>
      </c>
      <c r="C22" s="166" t="s">
        <v>259</v>
      </c>
      <c r="D22" s="167">
        <f>'3. 5기 수입지출장부'!D207</f>
        <v>300000</v>
      </c>
      <c r="E22" s="168">
        <f>'3. 5기 수입지출장부'!E207</f>
        <v>0</v>
      </c>
      <c r="F22" s="169">
        <f>'3. 5기 수입지출장부'!F207</f>
        <v>300000</v>
      </c>
      <c r="G22" s="170">
        <f t="shared" si="0"/>
        <v>0</v>
      </c>
    </row>
    <row r="23" spans="1:12" ht="20.100000000000001" customHeight="1">
      <c r="B23" s="159" t="s">
        <v>269</v>
      </c>
      <c r="C23" s="160" t="s">
        <v>261</v>
      </c>
      <c r="D23" s="161">
        <f>'3. 5기 수입지출장부'!D208</f>
        <v>4000000</v>
      </c>
      <c r="E23" s="162">
        <f>'3. 5기 수입지출장부'!E208</f>
        <v>0</v>
      </c>
      <c r="F23" s="163">
        <f>'3. 5기 수입지출장부'!F208</f>
        <v>4000000</v>
      </c>
      <c r="G23" s="164">
        <f t="shared" si="0"/>
        <v>0</v>
      </c>
    </row>
    <row r="24" spans="1:12" ht="20.100000000000001" customHeight="1">
      <c r="B24" s="165" t="s">
        <v>269</v>
      </c>
      <c r="C24" s="166" t="s">
        <v>253</v>
      </c>
      <c r="D24" s="167">
        <f>'3. 5기 수입지출장부'!D209</f>
        <v>2300000</v>
      </c>
      <c r="E24" s="168">
        <f>'3. 5기 수입지출장부'!E209</f>
        <v>0</v>
      </c>
      <c r="F24" s="169">
        <f>'3. 5기 수입지출장부'!F209</f>
        <v>2300000</v>
      </c>
      <c r="G24" s="170">
        <f t="shared" si="0"/>
        <v>0</v>
      </c>
    </row>
    <row r="25" spans="1:12" ht="20.100000000000001" customHeight="1">
      <c r="B25" s="159" t="s">
        <v>269</v>
      </c>
      <c r="C25" s="160" t="s">
        <v>256</v>
      </c>
      <c r="D25" s="161">
        <f>'3. 5기 수입지출장부'!D210</f>
        <v>0</v>
      </c>
      <c r="E25" s="162">
        <f>'3. 5기 수입지출장부'!E210</f>
        <v>0</v>
      </c>
      <c r="F25" s="163">
        <f>'3. 5기 수입지출장부'!F210</f>
        <v>0</v>
      </c>
      <c r="G25" s="164">
        <f t="shared" si="0"/>
        <v>0</v>
      </c>
    </row>
    <row r="26" spans="1:12" ht="20.100000000000001" customHeight="1">
      <c r="B26" s="165" t="s">
        <v>269</v>
      </c>
      <c r="C26" s="166" t="s">
        <v>249</v>
      </c>
      <c r="D26" s="167">
        <f>'3. 5기 수입지출장부'!D211</f>
        <v>600000</v>
      </c>
      <c r="E26" s="168">
        <f>'3. 5기 수입지출장부'!E211</f>
        <v>0</v>
      </c>
      <c r="F26" s="169">
        <f>'3. 5기 수입지출장부'!F211</f>
        <v>600000</v>
      </c>
      <c r="G26" s="170">
        <f t="shared" si="0"/>
        <v>0</v>
      </c>
    </row>
    <row r="27" spans="1:12" ht="20.100000000000001" customHeight="1">
      <c r="B27" s="159" t="s">
        <v>269</v>
      </c>
      <c r="C27" s="160" t="s">
        <v>248</v>
      </c>
      <c r="D27" s="161">
        <f>'3. 5기 수입지출장부'!D212</f>
        <v>300000</v>
      </c>
      <c r="E27" s="162">
        <f>'3. 5기 수입지출장부'!E212</f>
        <v>0</v>
      </c>
      <c r="F27" s="163">
        <f>'3. 5기 수입지출장부'!F212</f>
        <v>300000</v>
      </c>
      <c r="G27" s="164">
        <f t="shared" si="0"/>
        <v>0</v>
      </c>
    </row>
    <row r="28" spans="1:12" ht="20.100000000000001" customHeight="1">
      <c r="B28" s="165" t="s">
        <v>269</v>
      </c>
      <c r="C28" s="166" t="s">
        <v>252</v>
      </c>
      <c r="D28" s="167">
        <f>'3. 5기 수입지출장부'!D213</f>
        <v>500000</v>
      </c>
      <c r="E28" s="168">
        <f>'3. 5기 수입지출장부'!E213</f>
        <v>0</v>
      </c>
      <c r="F28" s="169">
        <f>'3. 5기 수입지출장부'!F213</f>
        <v>500000</v>
      </c>
      <c r="G28" s="170">
        <f t="shared" si="0"/>
        <v>0</v>
      </c>
    </row>
    <row r="29" spans="1:12" ht="20.100000000000001" customHeight="1">
      <c r="B29" s="159" t="s">
        <v>269</v>
      </c>
      <c r="C29" s="160" t="s">
        <v>242</v>
      </c>
      <c r="D29" s="161">
        <f>'3. 5기 수입지출장부'!D214</f>
        <v>400000</v>
      </c>
      <c r="E29" s="162">
        <f>'3. 5기 수입지출장부'!E214</f>
        <v>0</v>
      </c>
      <c r="F29" s="163">
        <f>'3. 5기 수입지출장부'!F214</f>
        <v>400000</v>
      </c>
      <c r="G29" s="164">
        <f t="shared" si="0"/>
        <v>0</v>
      </c>
    </row>
    <row r="31" spans="1:12">
      <c r="A31" s="271" t="s">
        <v>384</v>
      </c>
      <c r="B31" s="180"/>
      <c r="C31" s="180"/>
      <c r="D31" s="180"/>
      <c r="E31" s="180"/>
      <c r="F31" s="180"/>
      <c r="G31" s="180"/>
      <c r="H31" s="180"/>
      <c r="I31" s="180"/>
      <c r="J31" s="180"/>
      <c r="K31" s="180"/>
      <c r="L31" s="180"/>
    </row>
  </sheetData>
  <mergeCells count="14">
    <mergeCell ref="A2:L2"/>
    <mergeCell ref="I4:J4"/>
    <mergeCell ref="A9:G9"/>
    <mergeCell ref="A1:L1"/>
    <mergeCell ref="B5:C6"/>
    <mergeCell ref="F5:G6"/>
    <mergeCell ref="D5:E6"/>
    <mergeCell ref="A31:L31"/>
    <mergeCell ref="D4:E4"/>
    <mergeCell ref="K5:L6"/>
    <mergeCell ref="I5:J6"/>
    <mergeCell ref="K4:L4"/>
    <mergeCell ref="B4:C4"/>
    <mergeCell ref="F4:G4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2026-10-16T14:38:10Z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