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67316292-F760-49DA-B169-9D377681595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수입지출장부'!$F$181:$F$184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" i="3" l="1"/>
  <c r="G165" i="3" s="1"/>
  <c r="G163" i="3"/>
  <c r="G161" i="3"/>
  <c r="G162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3" i="3"/>
  <c r="D213" i="3"/>
  <c r="E212" i="3"/>
  <c r="E211" i="3"/>
  <c r="E210" i="3"/>
  <c r="E209" i="3"/>
  <c r="E208" i="3"/>
  <c r="D208" i="3"/>
  <c r="E207" i="3"/>
  <c r="D207" i="3"/>
  <c r="E206" i="3"/>
  <c r="E205" i="3"/>
  <c r="E204" i="3"/>
  <c r="D204" i="3"/>
  <c r="E203" i="3"/>
  <c r="E202" i="3"/>
  <c r="E201" i="3"/>
  <c r="E200" i="3"/>
  <c r="D200" i="3"/>
  <c r="E199" i="3"/>
  <c r="D199" i="3"/>
  <c r="E198" i="3"/>
  <c r="E197" i="3"/>
  <c r="D197" i="3"/>
  <c r="E196" i="3"/>
  <c r="D196" i="3"/>
  <c r="E195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3" i="3"/>
  <c r="F29" i="5" s="1"/>
  <c r="D29" i="5"/>
  <c r="E28" i="5"/>
  <c r="G28" i="5" s="1"/>
  <c r="Q39" i="1"/>
  <c r="F212" i="3"/>
  <c r="F28" i="5" s="1"/>
  <c r="Q37" i="1"/>
  <c r="S36" i="1" s="1"/>
  <c r="F211" i="3"/>
  <c r="F27" i="5" s="1"/>
  <c r="E27" i="5"/>
  <c r="G27" i="5" s="1"/>
  <c r="Q35" i="1"/>
  <c r="S34" i="1" s="1"/>
  <c r="F210" i="3"/>
  <c r="F26" i="5" s="1"/>
  <c r="E26" i="5"/>
  <c r="G26" i="5" s="1"/>
  <c r="F209" i="3"/>
  <c r="F25" i="5" s="1"/>
  <c r="E25" i="5"/>
  <c r="G25" i="5" s="1"/>
  <c r="Q33" i="1"/>
  <c r="Q31" i="1"/>
  <c r="S30" i="1" s="1"/>
  <c r="E24" i="5"/>
  <c r="F208" i="3"/>
  <c r="F24" i="5" s="1"/>
  <c r="D24" i="5"/>
  <c r="Q29" i="1"/>
  <c r="S28" i="1" s="1"/>
  <c r="E23" i="5"/>
  <c r="F207" i="3"/>
  <c r="F23" i="5" s="1"/>
  <c r="D23" i="5"/>
  <c r="E22" i="5"/>
  <c r="G22" i="5" s="1"/>
  <c r="F206" i="3"/>
  <c r="F22" i="5" s="1"/>
  <c r="Q27" i="1"/>
  <c r="S26" i="1" s="1"/>
  <c r="Q25" i="1"/>
  <c r="S24" i="1" s="1"/>
  <c r="F205" i="3"/>
  <c r="F21" i="5" s="1"/>
  <c r="E21" i="5"/>
  <c r="G21" i="5" s="1"/>
  <c r="E20" i="5"/>
  <c r="Q23" i="1"/>
  <c r="F204" i="3"/>
  <c r="F20" i="5" s="1"/>
  <c r="D20" i="5"/>
  <c r="F203" i="3"/>
  <c r="F19" i="5" s="1"/>
  <c r="E19" i="5"/>
  <c r="G19" i="5" s="1"/>
  <c r="F202" i="3"/>
  <c r="F18" i="5" s="1"/>
  <c r="Q21" i="1"/>
  <c r="S20" i="1" s="1"/>
  <c r="E18" i="5"/>
  <c r="G18" i="5" s="1"/>
  <c r="Q19" i="1"/>
  <c r="S18" i="1" s="1"/>
  <c r="F201" i="3"/>
  <c r="F17" i="5" s="1"/>
  <c r="E17" i="5"/>
  <c r="G17" i="5" s="1"/>
  <c r="E16" i="5"/>
  <c r="Q17" i="1"/>
  <c r="S16" i="1" s="1"/>
  <c r="D16" i="5"/>
  <c r="F200" i="3"/>
  <c r="F16" i="5" s="1"/>
  <c r="Q15" i="1"/>
  <c r="S14" i="1" s="1"/>
  <c r="E15" i="5"/>
  <c r="D15" i="5"/>
  <c r="F199" i="3"/>
  <c r="F15" i="5" s="1"/>
  <c r="F198" i="3"/>
  <c r="F14" i="5" s="1"/>
  <c r="E14" i="5"/>
  <c r="G14" i="5" s="1"/>
  <c r="Q13" i="1"/>
  <c r="S12" i="1" s="1"/>
  <c r="E13" i="5"/>
  <c r="Q11" i="1"/>
  <c r="S10" i="1" s="1"/>
  <c r="D13" i="5"/>
  <c r="F197" i="3"/>
  <c r="F13" i="5" s="1"/>
  <c r="Q9" i="1"/>
  <c r="E12" i="5"/>
  <c r="D12" i="5"/>
  <c r="F196" i="3"/>
  <c r="F12" i="5" s="1"/>
  <c r="E11" i="5"/>
  <c r="G11" i="5" s="1"/>
  <c r="Q7" i="1"/>
  <c r="F195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<sst xmlns="http://schemas.openxmlformats.org/spreadsheetml/2006/main" count="1342" uniqueCount="415">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</sst>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8">
  <autoFilter ref="A4:N178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0:A192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0:B183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0:C182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0:D182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0:E184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0:F183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0:G187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0:H183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수입지출장부'!$C$5:$C$2006,$C6,'3. 5기 수입지출장부'!$A$5:$A$2006,"&gt;="&amp;DATE(2026,E$5,1),'3. 5기 수입지출장부'!$A$5:$A$2006,"&lt;"&amp;DATE(2026,E$5+1,1),'3. 5기 수입지출장부'!$E$5:$E$2006,"&gt;0")&gt;0,"■","")</f>
        <v/>
      </c>
      <c r="F7" s="9" t="str">
        <f>IF(COUNTIFS('3. 5기 수입지출장부'!$C$5:$C$2006,$C6,'3. 5기 수입지출장부'!$A$5:$A$2006,"&gt;="&amp;DATE(2026,F$5,1),'3. 5기 수입지출장부'!$A$5:$A$2006,"&lt;"&amp;DATE(2026,F$5+1,1),'3. 5기 수입지출장부'!$E$5:$E$2006,"&gt;0")&gt;0,"■","")</f>
        <v/>
      </c>
      <c r="G7" s="9" t="str">
        <f>IF(COUNTIFS('3. 5기 수입지출장부'!$C$5:$C$2006,$C6,'3. 5기 수입지출장부'!$A$5:$A$2006,"&gt;="&amp;DATE(2026,G$5,1),'3. 5기 수입지출장부'!$A$5:$A$2006,"&lt;"&amp;DATE(2026,G$5+1,1),'3. 5기 수입지출장부'!$E$5:$E$2006,"&gt;0")&gt;0,"■","")</f>
        <v>■</v>
      </c>
      <c r="H7" s="9" t="str">
        <f>IF(COUNTIFS('3. 5기 수입지출장부'!$C$5:$C$2006,$C6,'3. 5기 수입지출장부'!$A$5:$A$2006,"&gt;="&amp;DATE(2026,H$5,1),'3. 5기 수입지출장부'!$A$5:$A$2006,"&lt;"&amp;DATE(2026,H$5+1,1),'3. 5기 수입지출장부'!$E$5:$E$2006,"&gt;0")&gt;0,"■","")</f>
        <v/>
      </c>
      <c r="I7" s="9" t="str">
        <f>IF(COUNTIFS('3. 5기 수입지출장부'!$C$5:$C$2006,$C6,'3. 5기 수입지출장부'!$A$5:$A$2006,"&gt;="&amp;DATE(2026,I$5,1),'3. 5기 수입지출장부'!$A$5:$A$2006,"&lt;"&amp;DATE(2026,I$5+1,1),'3. 5기 수입지출장부'!$E$5:$E$2006,"&gt;0")&gt;0,"■","")</f>
        <v/>
      </c>
      <c r="J7" s="9" t="str">
        <f>IF(COUNTIFS('3. 5기 수입지출장부'!$C$5:$C$2006,$C6,'3. 5기 수입지출장부'!$A$5:$A$2006,"&gt;="&amp;DATE(2026,J$5,1),'3. 5기 수입지출장부'!$A$5:$A$2006,"&lt;"&amp;DATE(2026,J$5+1,1),'3. 5기 수입지출장부'!$E$5:$E$2006,"&gt;0")&gt;0,"■","")</f>
        <v>■</v>
      </c>
      <c r="K7" s="9" t="str">
        <f>IF(COUNTIFS('3. 5기 수입지출장부'!$C$5:$C$2006,$C6,'3. 5기 수입지출장부'!$A$5:$A$2006,"&gt;="&amp;DATE(2026,K$5,1),'3. 5기 수입지출장부'!$A$5:$A$2006,"&lt;"&amp;DATE(2026,K$5+1,1),'3. 5기 수입지출장부'!$E$5:$E$2006,"&gt;0")&gt;0,"■","")</f>
        <v>■</v>
      </c>
      <c r="L7" s="9" t="str">
        <f>IF(COUNTIFS('3. 5기 수입지출장부'!$C$5:$C$2006,$C6,'3. 5기 수입지출장부'!$A$5:$A$2006,"&gt;="&amp;DATE(2026,L$5,1),'3. 5기 수입지출장부'!$A$5:$A$2006,"&lt;"&amp;DATE(2026,L$5+1,1),'3. 5기 수입지출장부'!$E$5:$E$2006,"&gt;0")&gt;0,"■","")</f>
        <v/>
      </c>
      <c r="M7" s="9" t="str">
        <f>IF(COUNTIFS('3. 5기 수입지출장부'!$C$5:$C$2006,$C6,'3. 5기 수입지출장부'!$A$5:$A$2006,"&gt;="&amp;DATE(2026,M$5,1),'3. 5기 수입지출장부'!$A$5:$A$2006,"&lt;"&amp;DATE(2026,M$5+1,1),'3. 5기 수입지출장부'!$E$5:$E$2006,"&gt;0")&gt;0,"■","")</f>
        <v/>
      </c>
      <c r="N7" s="9" t="str">
        <f>IF(COUNTIFS('3. 5기 수입지출장부'!$C$5:$C$2006,$C6,'3. 5기 수입지출장부'!$A$5:$A$2006,"&gt;="&amp;DATE(2026,N$5,1),'3. 5기 수입지출장부'!$A$5:$A$2006,"&lt;"&amp;DATE(2026,N$5+1,1),'3. 5기 수입지출장부'!$E$5:$E$2006,"&gt;0")&gt;0,"■","")</f>
        <v/>
      </c>
      <c r="O7" s="9" t="str">
        <f>IF(COUNTIFS('3. 5기 수입지출장부'!$C$5:$C$2006,$C6,'3. 5기 수입지출장부'!$A$5:$A$2006,"&gt;="&amp;DATE(2026,O$5,1),'3. 5기 수입지출장부'!$A$5:$A$2006,"&lt;"&amp;DATE(2026,O$5+1,1),'3. 5기 수입지출장부'!$E$5:$E$2006,"&gt;0")&gt;0,"■","")</f>
        <v/>
      </c>
      <c r="P7" s="9" t="str">
        <f>IF(COUNTIFS('3. 5기 수입지출장부'!$C$5:$C$2006,$C6,'3. 5기 수입지출장부'!$A$5:$A$2006,"&gt;="&amp;DATE(2026,P$5,1),'3. 5기 수입지출장부'!$A$5:$A$2006,"&lt;"&amp;DATE(2026,P$5+1,1),'3. 5기 수입지출장부'!$E$5:$E$2006,"&gt;0")&gt;0,"■","")</f>
        <v/>
      </c>
      <c r="Q7" s="206">
        <f>'3. 5기 수입지출장부'!E195</f>
        <v>800000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수입지출장부'!$C$5:$C$2006,$C8,'3. 5기 수입지출장부'!$A$5:$A$2006,"&gt;="&amp;DATE(2026,E$5,1),'3. 5기 수입지출장부'!$A$5:$A$2006,"&lt;"&amp;DATE(2026,E$5+1,1),'3. 5기 수입지출장부'!$E$5:$E$2006,"&gt;0")&gt;0,"■","")</f>
        <v/>
      </c>
      <c r="F9" s="14" t="str">
        <f>IF(COUNTIFS('3. 5기 수입지출장부'!$C$5:$C$2006,$C8,'3. 5기 수입지출장부'!$A$5:$A$2006,"&gt;="&amp;DATE(2026,F$5,1),'3. 5기 수입지출장부'!$A$5:$A$2006,"&lt;"&amp;DATE(2026,F$5+1,1),'3. 5기 수입지출장부'!$E$5:$E$2006,"&gt;0")&gt;0,"■","")</f>
        <v/>
      </c>
      <c r="G9" s="14" t="str">
        <f>IF(COUNTIFS('3. 5기 수입지출장부'!$C$5:$C$2006,$C8,'3. 5기 수입지출장부'!$A$5:$A$2006,"&gt;="&amp;DATE(2026,G$5,1),'3. 5기 수입지출장부'!$A$5:$A$2006,"&lt;"&amp;DATE(2026,G$5+1,1),'3. 5기 수입지출장부'!$E$5:$E$2006,"&gt;0")&gt;0,"■","")</f>
        <v/>
      </c>
      <c r="H9" s="9" t="str">
        <f>IF(COUNTIFS('3. 5기 수입지출장부'!$C$5:$C$2006,$C8,'3. 5기 수입지출장부'!$A$5:$A$2006,"&gt;="&amp;DATE(2026,H$5,1),'3. 5기 수입지출장부'!$A$5:$A$2006,"&lt;"&amp;DATE(2026,H$5+1,1),'3. 5기 수입지출장부'!$E$5:$E$2006,"&gt;0")&gt;0,"■","")</f>
        <v/>
      </c>
      <c r="I9" s="14" t="str">
        <f>IF(COUNTIFS('3. 5기 수입지출장부'!$C$5:$C$2006,$C8,'3. 5기 수입지출장부'!$A$5:$A$2006,"&gt;="&amp;DATE(2026,I$5,1),'3. 5기 수입지출장부'!$A$5:$A$2006,"&lt;"&amp;DATE(2026,I$5+1,1),'3. 5기 수입지출장부'!$E$5:$E$2006,"&gt;0")&gt;0,"■","")</f>
        <v/>
      </c>
      <c r="J9" s="9" t="str">
        <f>IF(COUNTIFS('3. 5기 수입지출장부'!$C$5:$C$2006,$C8,'3. 5기 수입지출장부'!$A$5:$A$2006,"&gt;="&amp;DATE(2026,J$5,1),'3. 5기 수입지출장부'!$A$5:$A$2006,"&lt;"&amp;DATE(2026,J$5+1,1),'3. 5기 수입지출장부'!$E$5:$E$2006,"&gt;0")&gt;0,"■","")</f>
        <v/>
      </c>
      <c r="K9" s="14" t="str">
        <f>IF(COUNTIFS('3. 5기 수입지출장부'!$C$5:$C$2006,$C8,'3. 5기 수입지출장부'!$A$5:$A$2006,"&gt;="&amp;DATE(2026,K$5,1),'3. 5기 수입지출장부'!$A$5:$A$2006,"&lt;"&amp;DATE(2026,K$5+1,1),'3. 5기 수입지출장부'!$E$5:$E$2006,"&gt;0")&gt;0,"■","")</f>
        <v/>
      </c>
      <c r="L9" s="9" t="str">
        <f>IF(COUNTIFS('3. 5기 수입지출장부'!$C$5:$C$2006,$C8,'3. 5기 수입지출장부'!$A$5:$A$2006,"&gt;="&amp;DATE(2026,L$5,1),'3. 5기 수입지출장부'!$A$5:$A$2006,"&lt;"&amp;DATE(2026,L$5+1,1),'3. 5기 수입지출장부'!$E$5:$E$2006,"&gt;0")&gt;0,"■","")</f>
        <v/>
      </c>
      <c r="M9" s="14" t="str">
        <f>IF(COUNTIFS('3. 5기 수입지출장부'!$C$5:$C$2006,$C8,'3. 5기 수입지출장부'!$A$5:$A$2006,"&gt;="&amp;DATE(2026,M$5,1),'3. 5기 수입지출장부'!$A$5:$A$2006,"&lt;"&amp;DATE(2026,M$5+1,1),'3. 5기 수입지출장부'!$E$5:$E$2006,"&gt;0")&gt;0,"■","")</f>
        <v/>
      </c>
      <c r="N9" s="9" t="str">
        <f>IF(COUNTIFS('3. 5기 수입지출장부'!$C$5:$C$2006,$C8,'3. 5기 수입지출장부'!$A$5:$A$2006,"&gt;="&amp;DATE(2026,N$5,1),'3. 5기 수입지출장부'!$A$5:$A$2006,"&lt;"&amp;DATE(2026,N$5+1,1),'3. 5기 수입지출장부'!$E$5:$E$2006,"&gt;0")&gt;0,"■","")</f>
        <v/>
      </c>
      <c r="O9" s="14" t="str">
        <f>IF(COUNTIFS('3. 5기 수입지출장부'!$C$5:$C$2006,$C8,'3. 5기 수입지출장부'!$A$5:$A$2006,"&gt;="&amp;DATE(2026,O$5,1),'3. 5기 수입지출장부'!$A$5:$A$2006,"&lt;"&amp;DATE(2026,O$5+1,1),'3. 5기 수입지출장부'!$E$5:$E$2006,"&gt;0")&gt;0,"■","")</f>
        <v/>
      </c>
      <c r="P9" s="14" t="str">
        <f>IF(COUNTIFS('3. 5기 수입지출장부'!$C$5:$C$2006,$C8,'3. 5기 수입지출장부'!$A$5:$A$2006,"&gt;="&amp;DATE(2026,P$5,1),'3. 5기 수입지출장부'!$A$5:$A$2006,"&lt;"&amp;DATE(2026,P$5+1,1),'3. 5기 수입지출장부'!$E$5:$E$2006,"&gt;0")&gt;0,"■","")</f>
        <v/>
      </c>
      <c r="Q9" s="206">
        <f>'3. 5기 수입지출장부'!E196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수입지출장부'!$C$5:$C$2006,$C10,'3. 5기 수입지출장부'!$A$5:$A$2006,"&gt;="&amp;DATE(2026,E$5,1),'3. 5기 수입지출장부'!$A$5:$A$2006,"&lt;"&amp;DATE(2026,E$5+1,1),'3. 5기 수입지출장부'!$E$5:$E$2006,"&gt;0")&gt;0,"■","")</f>
        <v/>
      </c>
      <c r="F11" s="14" t="str">
        <f>IF(COUNTIFS('3. 5기 수입지출장부'!$C$5:$C$2006,$C10,'3. 5기 수입지출장부'!$A$5:$A$2006,"&gt;="&amp;DATE(2026,F$5,1),'3. 5기 수입지출장부'!$A$5:$A$2006,"&lt;"&amp;DATE(2026,F$5+1,1),'3. 5기 수입지출장부'!$E$5:$E$2006,"&gt;0")&gt;0,"■","")</f>
        <v/>
      </c>
      <c r="G11" s="14" t="str">
        <f>IF(COUNTIFS('3. 5기 수입지출장부'!$C$5:$C$2006,$C10,'3. 5기 수입지출장부'!$A$5:$A$2006,"&gt;="&amp;DATE(2026,G$5,1),'3. 5기 수입지출장부'!$A$5:$A$2006,"&lt;"&amp;DATE(2026,G$5+1,1),'3. 5기 수입지출장부'!$E$5:$E$2006,"&gt;0")&gt;0,"■","")</f>
        <v/>
      </c>
      <c r="H11" s="9" t="str">
        <f>IF(COUNTIFS('3. 5기 수입지출장부'!$C$5:$C$2006,$C10,'3. 5기 수입지출장부'!$A$5:$A$2006,"&gt;="&amp;DATE(2026,H$5,1),'3. 5기 수입지출장부'!$A$5:$A$2006,"&lt;"&amp;DATE(2026,H$5+1,1),'3. 5기 수입지출장부'!$E$5:$E$2006,"&gt;0")&gt;0,"■","")</f>
        <v>■</v>
      </c>
      <c r="I11" s="14" t="str">
        <f>IF(COUNTIFS('3. 5기 수입지출장부'!$C$5:$C$2006,$C10,'3. 5기 수입지출장부'!$A$5:$A$2006,"&gt;="&amp;DATE(2026,I$5,1),'3. 5기 수입지출장부'!$A$5:$A$2006,"&lt;"&amp;DATE(2026,I$5+1,1),'3. 5기 수입지출장부'!$E$5:$E$2006,"&gt;0")&gt;0,"■","")</f>
        <v/>
      </c>
      <c r="J11" s="9" t="str">
        <f>IF(COUNTIFS('3. 5기 수입지출장부'!$C$5:$C$2006,$C10,'3. 5기 수입지출장부'!$A$5:$A$2006,"&gt;="&amp;DATE(2026,J$5,1),'3. 5기 수입지출장부'!$A$5:$A$2006,"&lt;"&amp;DATE(2026,J$5+1,1),'3. 5기 수입지출장부'!$E$5:$E$2006,"&gt;0")&gt;0,"■","")</f>
        <v/>
      </c>
      <c r="K11" s="14" t="str">
        <f>IF(COUNTIFS('3. 5기 수입지출장부'!$C$5:$C$2006,$C10,'3. 5기 수입지출장부'!$A$5:$A$2006,"&gt;="&amp;DATE(2026,K$5,1),'3. 5기 수입지출장부'!$A$5:$A$2006,"&lt;"&amp;DATE(2026,K$5+1,1),'3. 5기 수입지출장부'!$E$5:$E$2006,"&gt;0")&gt;0,"■","")</f>
        <v/>
      </c>
      <c r="L11" s="9" t="str">
        <f>IF(COUNTIFS('3. 5기 수입지출장부'!$C$5:$C$2006,$C10,'3. 5기 수입지출장부'!$A$5:$A$2006,"&gt;="&amp;DATE(2026,L$5,1),'3. 5기 수입지출장부'!$A$5:$A$2006,"&lt;"&amp;DATE(2026,L$5+1,1),'3. 5기 수입지출장부'!$E$5:$E$2006,"&gt;0")&gt;0,"■","")</f>
        <v/>
      </c>
      <c r="M11" s="14" t="str">
        <f>IF(COUNTIFS('3. 5기 수입지출장부'!$C$5:$C$2006,$C10,'3. 5기 수입지출장부'!$A$5:$A$2006,"&gt;="&amp;DATE(2026,M$5,1),'3. 5기 수입지출장부'!$A$5:$A$2006,"&lt;"&amp;DATE(2026,M$5+1,1),'3. 5기 수입지출장부'!$E$5:$E$2006,"&gt;0")&gt;0,"■","")</f>
        <v/>
      </c>
      <c r="N11" s="9" t="str">
        <f>IF(COUNTIFS('3. 5기 수입지출장부'!$C$5:$C$2006,$C10,'3. 5기 수입지출장부'!$A$5:$A$2006,"&gt;="&amp;DATE(2026,N$5,1),'3. 5기 수입지출장부'!$A$5:$A$2006,"&lt;"&amp;DATE(2026,N$5+1,1),'3. 5기 수입지출장부'!$E$5:$E$2006,"&gt;0")&gt;0,"■","")</f>
        <v/>
      </c>
      <c r="O11" s="14" t="str">
        <f>IF(COUNTIFS('3. 5기 수입지출장부'!$C$5:$C$2006,$C10,'3. 5기 수입지출장부'!$A$5:$A$2006,"&gt;="&amp;DATE(2026,O$5,1),'3. 5기 수입지출장부'!$A$5:$A$2006,"&lt;"&amp;DATE(2026,O$5+1,1),'3. 5기 수입지출장부'!$E$5:$E$2006,"&gt;0")&gt;0,"■","")</f>
        <v/>
      </c>
      <c r="P11" s="14" t="str">
        <f>IF(COUNTIFS('3. 5기 수입지출장부'!$C$5:$C$2006,$C10,'3. 5기 수입지출장부'!$A$5:$A$2006,"&gt;="&amp;DATE(2026,P$5,1),'3. 5기 수입지출장부'!$A$5:$A$2006,"&lt;"&amp;DATE(2026,P$5+1,1),'3. 5기 수입지출장부'!$E$5:$E$2006,"&gt;0")&gt;0,"■","")</f>
        <v/>
      </c>
      <c r="Q11" s="231">
        <f>'3. 5기 수입지출장부'!E197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수입지출장부'!$C$5:$C$2006,$C12,'3. 5기 수입지출장부'!$A$5:$A$2006,"&gt;="&amp;DATE(2026,E$5,1),'3. 5기 수입지출장부'!$A$5:$A$2006,"&lt;"&amp;DATE(2026,E$5+1,1),'3. 5기 수입지출장부'!$E$5:$E$2006,"&gt;0")&gt;0,"■","")</f>
        <v/>
      </c>
      <c r="F13" s="14" t="str">
        <f>IF(COUNTIFS('3. 5기 수입지출장부'!$C$5:$C$2006,$C12,'3. 5기 수입지출장부'!$A$5:$A$2006,"&gt;="&amp;DATE(2026,F$5,1),'3. 5기 수입지출장부'!$A$5:$A$2006,"&lt;"&amp;DATE(2026,F$5+1,1),'3. 5기 수입지출장부'!$E$5:$E$2006,"&gt;0")&gt;0,"■","")</f>
        <v/>
      </c>
      <c r="G13" s="14" t="str">
        <f>IF(COUNTIFS('3. 5기 수입지출장부'!$C$5:$C$2006,$C12,'3. 5기 수입지출장부'!$A$5:$A$2006,"&gt;="&amp;DATE(2026,G$5,1),'3. 5기 수입지출장부'!$A$5:$A$2006,"&lt;"&amp;DATE(2026,G$5+1,1),'3. 5기 수입지출장부'!$E$5:$E$2006,"&gt;0")&gt;0,"■","")</f>
        <v/>
      </c>
      <c r="H13" s="9" t="str">
        <f>IF(COUNTIFS('3. 5기 수입지출장부'!$C$5:$C$2006,$C12,'3. 5기 수입지출장부'!$A$5:$A$2006,"&gt;="&amp;DATE(2026,H$5,1),'3. 5기 수입지출장부'!$A$5:$A$2006,"&lt;"&amp;DATE(2026,H$5+1,1),'3. 5기 수입지출장부'!$E$5:$E$2006,"&gt;0")&gt;0,"■","")</f>
        <v/>
      </c>
      <c r="I13" s="14" t="str">
        <f>IF(COUNTIFS('3. 5기 수입지출장부'!$C$5:$C$2006,$C12,'3. 5기 수입지출장부'!$A$5:$A$2006,"&gt;="&amp;DATE(2026,I$5,1),'3. 5기 수입지출장부'!$A$5:$A$2006,"&lt;"&amp;DATE(2026,I$5+1,1),'3. 5기 수입지출장부'!$E$5:$E$2006,"&gt;0")&gt;0,"■","")</f>
        <v/>
      </c>
      <c r="J13" s="9" t="str">
        <f>IF(COUNTIFS('3. 5기 수입지출장부'!$C$5:$C$2006,$C12,'3. 5기 수입지출장부'!$A$5:$A$2006,"&gt;="&amp;DATE(2026,J$5,1),'3. 5기 수입지출장부'!$A$5:$A$2006,"&lt;"&amp;DATE(2026,J$5+1,1),'3. 5기 수입지출장부'!$E$5:$E$2006,"&gt;0")&gt;0,"■","")</f>
        <v/>
      </c>
      <c r="K13" s="14" t="str">
        <f>IF(COUNTIFS('3. 5기 수입지출장부'!$C$5:$C$2006,$C12,'3. 5기 수입지출장부'!$A$5:$A$2006,"&gt;="&amp;DATE(2026,K$5,1),'3. 5기 수입지출장부'!$A$5:$A$2006,"&lt;"&amp;DATE(2026,K$5+1,1),'3. 5기 수입지출장부'!$E$5:$E$2006,"&gt;0")&gt;0,"■","")</f>
        <v/>
      </c>
      <c r="L13" s="9" t="str">
        <f>IF(COUNTIFS('3. 5기 수입지출장부'!$C$5:$C$2006,$C12,'3. 5기 수입지출장부'!$A$5:$A$2006,"&gt;="&amp;DATE(2026,L$5,1),'3. 5기 수입지출장부'!$A$5:$A$2006,"&lt;"&amp;DATE(2026,L$5+1,1),'3. 5기 수입지출장부'!$E$5:$E$2006,"&gt;0")&gt;0,"■","")</f>
        <v/>
      </c>
      <c r="M13" s="14" t="str">
        <f>IF(COUNTIFS('3. 5기 수입지출장부'!$C$5:$C$2006,$C12,'3. 5기 수입지출장부'!$A$5:$A$2006,"&gt;="&amp;DATE(2026,M$5,1),'3. 5기 수입지출장부'!$A$5:$A$2006,"&lt;"&amp;DATE(2026,M$5+1,1),'3. 5기 수입지출장부'!$E$5:$E$2006,"&gt;0")&gt;0,"■","")</f>
        <v/>
      </c>
      <c r="N13" s="9" t="str">
        <f>IF(COUNTIFS('3. 5기 수입지출장부'!$C$5:$C$2006,$C12,'3. 5기 수입지출장부'!$A$5:$A$2006,"&gt;="&amp;DATE(2026,N$5,1),'3. 5기 수입지출장부'!$A$5:$A$2006,"&lt;"&amp;DATE(2026,N$5+1,1),'3. 5기 수입지출장부'!$E$5:$E$2006,"&gt;0")&gt;0,"■","")</f>
        <v/>
      </c>
      <c r="O13" s="14" t="str">
        <f>IF(COUNTIFS('3. 5기 수입지출장부'!$C$5:$C$2006,$C12,'3. 5기 수입지출장부'!$A$5:$A$2006,"&gt;="&amp;DATE(2026,O$5,1),'3. 5기 수입지출장부'!$A$5:$A$2006,"&lt;"&amp;DATE(2026,O$5+1,1),'3. 5기 수입지출장부'!$E$5:$E$2006,"&gt;0")&gt;0,"■","")</f>
        <v/>
      </c>
      <c r="P13" s="14" t="str">
        <f>IF(COUNTIFS('3. 5기 수입지출장부'!$C$5:$C$2006,$C12,'3. 5기 수입지출장부'!$A$5:$A$2006,"&gt;="&amp;DATE(2026,P$5,1),'3. 5기 수입지출장부'!$A$5:$A$2006,"&lt;"&amp;DATE(2026,P$5+1,1),'3. 5기 수입지출장부'!$E$5:$E$2006,"&gt;0")&gt;0,"■","")</f>
        <v/>
      </c>
      <c r="Q13" s="206">
        <f>'3. 5기 수입지출장부'!E198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수입지출장부'!$C$5:$C$2006,$C14,'3. 5기 수입지출장부'!$A$5:$A$2006,"&gt;="&amp;DATE(2026,E$5,1),'3. 5기 수입지출장부'!$A$5:$A$2006,"&lt;"&amp;DATE(2026,E$5+1,1),'3. 5기 수입지출장부'!$E$5:$E$2006,"&gt;0")&gt;0,"■","")</f>
        <v/>
      </c>
      <c r="F15" s="14" t="str">
        <f>IF(COUNTIFS('3. 5기 수입지출장부'!$C$5:$C$2006,$C14,'3. 5기 수입지출장부'!$A$5:$A$2006,"&gt;="&amp;DATE(2026,F$5,1),'3. 5기 수입지출장부'!$A$5:$A$2006,"&lt;"&amp;DATE(2026,F$5+1,1),'3. 5기 수입지출장부'!$E$5:$E$2006,"&gt;0")&gt;0,"■","")</f>
        <v/>
      </c>
      <c r="G15" s="14" t="str">
        <f>IF(COUNTIFS('3. 5기 수입지출장부'!$C$5:$C$2006,$C14,'3. 5기 수입지출장부'!$A$5:$A$2006,"&gt;="&amp;DATE(2026,G$5,1),'3. 5기 수입지출장부'!$A$5:$A$2006,"&lt;"&amp;DATE(2026,G$5+1,1),'3. 5기 수입지출장부'!$E$5:$E$2006,"&gt;0")&gt;0,"■","")</f>
        <v/>
      </c>
      <c r="H15" s="9" t="str">
        <f>IF(COUNTIFS('3. 5기 수입지출장부'!$C$5:$C$2006,$C14,'3. 5기 수입지출장부'!$A$5:$A$2006,"&gt;="&amp;DATE(2026,H$5,1),'3. 5기 수입지출장부'!$A$5:$A$2006,"&lt;"&amp;DATE(2026,H$5+1,1),'3. 5기 수입지출장부'!$E$5:$E$2006,"&gt;0")&gt;0,"■","")</f>
        <v/>
      </c>
      <c r="I15" s="14" t="str">
        <f>IF(COUNTIFS('3. 5기 수입지출장부'!$C$5:$C$2006,$C14,'3. 5기 수입지출장부'!$A$5:$A$2006,"&gt;="&amp;DATE(2026,I$5,1),'3. 5기 수입지출장부'!$A$5:$A$2006,"&lt;"&amp;DATE(2026,I$5+1,1),'3. 5기 수입지출장부'!$E$5:$E$2006,"&gt;0")&gt;0,"■","")</f>
        <v/>
      </c>
      <c r="J15" s="14" t="str">
        <f>IF(COUNTIFS('3. 5기 수입지출장부'!$C$5:$C$2006,$C14,'3. 5기 수입지출장부'!$A$5:$A$2006,"&gt;="&amp;DATE(2026,J$5,1),'3. 5기 수입지출장부'!$A$5:$A$2006,"&lt;"&amp;DATE(2026,J$5+1,1),'3. 5기 수입지출장부'!$E$5:$E$2006,"&gt;0")&gt;0,"■","")</f>
        <v/>
      </c>
      <c r="K15" s="14" t="str">
        <f>IF(COUNTIFS('3. 5기 수입지출장부'!$C$5:$C$2006,$C14,'3. 5기 수입지출장부'!$A$5:$A$2006,"&gt;="&amp;DATE(2026,K$5,1),'3. 5기 수입지출장부'!$A$5:$A$2006,"&lt;"&amp;DATE(2026,K$5+1,1),'3. 5기 수입지출장부'!$E$5:$E$2006,"&gt;0")&gt;0,"■","")</f>
        <v/>
      </c>
      <c r="L15" s="14" t="str">
        <f>IF(COUNTIFS('3. 5기 수입지출장부'!$C$5:$C$2006,$C14,'3. 5기 수입지출장부'!$A$5:$A$2006,"&gt;="&amp;DATE(2026,L$5,1),'3. 5기 수입지출장부'!$A$5:$A$2006,"&lt;"&amp;DATE(2026,L$5+1,1),'3. 5기 수입지출장부'!$E$5:$E$2006,"&gt;0")&gt;0,"■","")</f>
        <v/>
      </c>
      <c r="M15" s="14" t="str">
        <f>IF(COUNTIFS('3. 5기 수입지출장부'!$C$5:$C$2006,$C14,'3. 5기 수입지출장부'!$A$5:$A$2006,"&gt;="&amp;DATE(2026,M$5,1),'3. 5기 수입지출장부'!$A$5:$A$2006,"&lt;"&amp;DATE(2026,M$5+1,1),'3. 5기 수입지출장부'!$E$5:$E$2006,"&gt;0")&gt;0,"■","")</f>
        <v>■</v>
      </c>
      <c r="N15" s="14" t="str">
        <f>IF(COUNTIFS('3. 5기 수입지출장부'!$C$5:$C$2006,$C14,'3. 5기 수입지출장부'!$A$5:$A$2006,"&gt;="&amp;DATE(2026,N$5,1),'3. 5기 수입지출장부'!$A$5:$A$2006,"&lt;"&amp;DATE(2026,N$5+1,1),'3. 5기 수입지출장부'!$E$5:$E$2006,"&gt;0")&gt;0,"■","")</f>
        <v/>
      </c>
      <c r="O15" s="14" t="str">
        <f>IF(COUNTIFS('3. 5기 수입지출장부'!$C$5:$C$2006,$C14,'3. 5기 수입지출장부'!$A$5:$A$2006,"&gt;="&amp;DATE(2026,O$5,1),'3. 5기 수입지출장부'!$A$5:$A$2006,"&lt;"&amp;DATE(2026,O$5+1,1),'3. 5기 수입지출장부'!$E$5:$E$2006,"&gt;0")&gt;0,"■","")</f>
        <v/>
      </c>
      <c r="P15" s="14" t="str">
        <f>IF(COUNTIFS('3. 5기 수입지출장부'!$C$5:$C$2006,$C14,'3. 5기 수입지출장부'!$A$5:$A$2006,"&gt;="&amp;DATE(2026,P$5,1),'3. 5기 수입지출장부'!$A$5:$A$2006,"&lt;"&amp;DATE(2026,P$5+1,1),'3. 5기 수입지출장부'!$E$5:$E$2006,"&gt;0")&gt;0,"■","")</f>
        <v/>
      </c>
      <c r="Q15" s="248">
        <f>'3. 5기 수입지출장부'!E199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수입지출장부'!$C$5:$C$2006,$C16,'3. 5기 수입지출장부'!$A$5:$A$2006,"&gt;="&amp;DATE(2026,E$5,1),'3. 5기 수입지출장부'!$A$5:$A$2006,"&lt;"&amp;DATE(2026,E$5+1,1),'3. 5기 수입지출장부'!$E$5:$E$2006,"&gt;0")&gt;0,"■","")</f>
        <v/>
      </c>
      <c r="F17" s="14" t="str">
        <f>IF(COUNTIFS('3. 5기 수입지출장부'!$C$5:$C$2006,$C16,'3. 5기 수입지출장부'!$A$5:$A$2006,"&gt;="&amp;DATE(2026,F$5,1),'3. 5기 수입지출장부'!$A$5:$A$2006,"&lt;"&amp;DATE(2026,F$5+1,1),'3. 5기 수입지출장부'!$E$5:$E$2006,"&gt;0")&gt;0,"■","")</f>
        <v/>
      </c>
      <c r="G17" s="14" t="str">
        <f>IF(COUNTIFS('3. 5기 수입지출장부'!$C$5:$C$2006,$C16,'3. 5기 수입지출장부'!$A$5:$A$2006,"&gt;="&amp;DATE(2026,G$5,1),'3. 5기 수입지출장부'!$A$5:$A$2006,"&lt;"&amp;DATE(2026,G$5+1,1),'3. 5기 수입지출장부'!$E$5:$E$2006,"&gt;0")&gt;0,"■","")</f>
        <v/>
      </c>
      <c r="H17" s="9" t="str">
        <f>IF(COUNTIFS('3. 5기 수입지출장부'!$C$5:$C$2006,$C16,'3. 5기 수입지출장부'!$A$5:$A$2006,"&gt;="&amp;DATE(2026,H$5,1),'3. 5기 수입지출장부'!$A$5:$A$2006,"&lt;"&amp;DATE(2026,H$5+1,1),'3. 5기 수입지출장부'!$E$5:$E$2006,"&gt;0")&gt;0,"■","")</f>
        <v/>
      </c>
      <c r="I17" s="14" t="str">
        <f>IF(COUNTIFS('3. 5기 수입지출장부'!$C$5:$C$2006,$C16,'3. 5기 수입지출장부'!$A$5:$A$2006,"&gt;="&amp;DATE(2026,I$5,1),'3. 5기 수입지출장부'!$A$5:$A$2006,"&lt;"&amp;DATE(2026,I$5+1,1),'3. 5기 수입지출장부'!$E$5:$E$2006,"&gt;0")&gt;0,"■","")</f>
        <v/>
      </c>
      <c r="J17" s="14" t="str">
        <f>IF(COUNTIFS('3. 5기 수입지출장부'!$C$5:$C$2006,$C16,'3. 5기 수입지출장부'!$A$5:$A$2006,"&gt;="&amp;DATE(2026,J$5,1),'3. 5기 수입지출장부'!$A$5:$A$2006,"&lt;"&amp;DATE(2026,J$5+1,1),'3. 5기 수입지출장부'!$E$5:$E$2006,"&gt;0")&gt;0,"■","")</f>
        <v/>
      </c>
      <c r="K17" s="14" t="str">
        <f>IF(COUNTIFS('3. 5기 수입지출장부'!$C$5:$C$2006,$C16,'3. 5기 수입지출장부'!$A$5:$A$2006,"&gt;="&amp;DATE(2026,K$5,1),'3. 5기 수입지출장부'!$A$5:$A$2006,"&lt;"&amp;DATE(2026,K$5+1,1),'3. 5기 수입지출장부'!$E$5:$E$2006,"&gt;0")&gt;0,"■","")</f>
        <v/>
      </c>
      <c r="L17" s="14" t="str">
        <f>IF(COUNTIFS('3. 5기 수입지출장부'!$C$5:$C$2006,$C16,'3. 5기 수입지출장부'!$A$5:$A$2006,"&gt;="&amp;DATE(2026,L$5,1),'3. 5기 수입지출장부'!$A$5:$A$2006,"&lt;"&amp;DATE(2026,L$5+1,1),'3. 5기 수입지출장부'!$E$5:$E$2006,"&gt;0")&gt;0,"■","")</f>
        <v>■</v>
      </c>
      <c r="M17" s="14" t="str">
        <f>IF(COUNTIFS('3. 5기 수입지출장부'!$C$5:$C$2006,$C16,'3. 5기 수입지출장부'!$A$5:$A$2006,"&gt;="&amp;DATE(2026,M$5,1),'3. 5기 수입지출장부'!$A$5:$A$2006,"&lt;"&amp;DATE(2026,M$5+1,1),'3. 5기 수입지출장부'!$E$5:$E$2006,"&gt;0")&gt;0,"■","")</f>
        <v/>
      </c>
      <c r="N17" s="14" t="str">
        <f>IF(COUNTIFS('3. 5기 수입지출장부'!$C$5:$C$2006,$C16,'3. 5기 수입지출장부'!$A$5:$A$2006,"&gt;="&amp;DATE(2026,N$5,1),'3. 5기 수입지출장부'!$A$5:$A$2006,"&lt;"&amp;DATE(2026,N$5+1,1),'3. 5기 수입지출장부'!$E$5:$E$2006,"&gt;0")&gt;0,"■","")</f>
        <v/>
      </c>
      <c r="O17" s="14" t="str">
        <f>IF(COUNTIFS('3. 5기 수입지출장부'!$C$5:$C$2006,$C16,'3. 5기 수입지출장부'!$A$5:$A$2006,"&gt;="&amp;DATE(2026,O$5,1),'3. 5기 수입지출장부'!$A$5:$A$2006,"&lt;"&amp;DATE(2026,O$5+1,1),'3. 5기 수입지출장부'!$E$5:$E$2006,"&gt;0")&gt;0,"■","")</f>
        <v/>
      </c>
      <c r="P17" s="14" t="str">
        <f>IF(COUNTIFS('3. 5기 수입지출장부'!$C$5:$C$2006,$C16,'3. 5기 수입지출장부'!$A$5:$A$2006,"&gt;="&amp;DATE(2026,P$5,1),'3. 5기 수입지출장부'!$A$5:$A$2006,"&lt;"&amp;DATE(2026,P$5+1,1),'3. 5기 수입지출장부'!$E$5:$E$2006,"&gt;0")&gt;0,"■","")</f>
        <v/>
      </c>
      <c r="Q17" s="206">
        <f>'3. 5기 수입지출장부'!E200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수입지출장부'!$C$5:$C$2006,$C18,'3. 5기 수입지출장부'!$A$5:$A$2006,"&gt;="&amp;DATE(2026,E$5,1),'3. 5기 수입지출장부'!$A$5:$A$2006,"&lt;"&amp;DATE(2026,E$5+1,1),'3. 5기 수입지출장부'!$E$5:$E$2006,"&gt;0")&gt;0,"■","")</f>
        <v/>
      </c>
      <c r="F19" s="5" t="str">
        <f>IF(COUNTIFS('3. 5기 수입지출장부'!$C$5:$C$2006,$C18,'3. 5기 수입지출장부'!$A$5:$A$2006,"&gt;="&amp;DATE(2026,F$5,1),'3. 5기 수입지출장부'!$A$5:$A$2006,"&lt;"&amp;DATE(2026,F$5+1,1),'3. 5기 수입지출장부'!$E$5:$E$2006,"&gt;0")&gt;0,"■","")</f>
        <v/>
      </c>
      <c r="G19" s="14" t="str">
        <f>IF(COUNTIFS('3. 5기 수입지출장부'!$C$5:$C$2006,$C18,'3. 5기 수입지출장부'!$A$5:$A$2006,"&gt;="&amp;DATE(2026,G$5,1),'3. 5기 수입지출장부'!$A$5:$A$2006,"&lt;"&amp;DATE(2026,G$5+1,1),'3. 5기 수입지출장부'!$E$5:$E$2006,"&gt;0")&gt;0,"■","")</f>
        <v/>
      </c>
      <c r="H19" s="9" t="str">
        <f>IF(COUNTIFS('3. 5기 수입지출장부'!$C$5:$C$2006,$C18,'3. 5기 수입지출장부'!$A$5:$A$2006,"&gt;="&amp;DATE(2026,H$5,1),'3. 5기 수입지출장부'!$A$5:$A$2006,"&lt;"&amp;DATE(2026,H$5+1,1),'3. 5기 수입지출장부'!$E$5:$E$2006,"&gt;0")&gt;0,"■","")</f>
        <v/>
      </c>
      <c r="I19" s="9" t="str">
        <f>IF(COUNTIFS('3. 5기 수입지출장부'!$C$5:$C$2006,$C18,'3. 5기 수입지출장부'!$A$5:$A$2006,"&gt;="&amp;DATE(2026,I$5,1),'3. 5기 수입지출장부'!$A$5:$A$2006,"&lt;"&amp;DATE(2026,I$5+1,1),'3. 5기 수입지출장부'!$E$5:$E$2006,"&gt;0")&gt;0,"■","")</f>
        <v/>
      </c>
      <c r="J19" s="14" t="str">
        <f>IF(COUNTIFS('3. 5기 수입지출장부'!$C$5:$C$2006,$C18,'3. 5기 수입지출장부'!$A$5:$A$2006,"&gt;="&amp;DATE(2026,J$5,1),'3. 5기 수입지출장부'!$A$5:$A$2006,"&lt;"&amp;DATE(2026,J$5+1,1),'3. 5기 수입지출장부'!$E$5:$E$2006,"&gt;0")&gt;0,"■","")</f>
        <v/>
      </c>
      <c r="K19" s="14" t="str">
        <f>IF(COUNTIFS('3. 5기 수입지출장부'!$C$5:$C$2006,$C18,'3. 5기 수입지출장부'!$A$5:$A$2006,"&gt;="&amp;DATE(2026,K$5,1),'3. 5기 수입지출장부'!$A$5:$A$2006,"&lt;"&amp;DATE(2026,K$5+1,1),'3. 5기 수입지출장부'!$E$5:$E$2006,"&gt;0")&gt;0,"■","")</f>
        <v/>
      </c>
      <c r="L19" s="14" t="str">
        <f>IF(COUNTIFS('3. 5기 수입지출장부'!$C$5:$C$2006,$C18,'3. 5기 수입지출장부'!$A$5:$A$2006,"&gt;="&amp;DATE(2026,L$5,1),'3. 5기 수입지출장부'!$A$5:$A$2006,"&lt;"&amp;DATE(2026,L$5+1,1),'3. 5기 수입지출장부'!$E$5:$E$2006,"&gt;0")&gt;0,"■","")</f>
        <v/>
      </c>
      <c r="M19" s="14" t="str">
        <f>IF(COUNTIFS('3. 5기 수입지출장부'!$C$5:$C$2006,$C18,'3. 5기 수입지출장부'!$A$5:$A$2006,"&gt;="&amp;DATE(2026,M$5,1),'3. 5기 수입지출장부'!$A$5:$A$2006,"&lt;"&amp;DATE(2026,M$5+1,1),'3. 5기 수입지출장부'!$E$5:$E$2006,"&gt;0")&gt;0,"■","")</f>
        <v/>
      </c>
      <c r="N19" s="14" t="str">
        <f>IF(COUNTIFS('3. 5기 수입지출장부'!$C$5:$C$2006,$C18,'3. 5기 수입지출장부'!$A$5:$A$2006,"&gt;="&amp;DATE(2026,N$5,1),'3. 5기 수입지출장부'!$A$5:$A$2006,"&lt;"&amp;DATE(2026,N$5+1,1),'3. 5기 수입지출장부'!$E$5:$E$2006,"&gt;0")&gt;0,"■","")</f>
        <v/>
      </c>
      <c r="O19" s="14" t="str">
        <f>IF(COUNTIFS('3. 5기 수입지출장부'!$C$5:$C$2006,$C18,'3. 5기 수입지출장부'!$A$5:$A$2006,"&gt;="&amp;DATE(2026,O$5,1),'3. 5기 수입지출장부'!$A$5:$A$2006,"&lt;"&amp;DATE(2026,O$5+1,1),'3. 5기 수입지출장부'!$E$5:$E$2006,"&gt;0")&gt;0,"■","")</f>
        <v/>
      </c>
      <c r="P19" s="14" t="str">
        <f>IF(COUNTIFS('3. 5기 수입지출장부'!$C$5:$C$2006,$C18,'3. 5기 수입지출장부'!$A$5:$A$2006,"&gt;="&amp;DATE(2026,P$5,1),'3. 5기 수입지출장부'!$A$5:$A$2006,"&lt;"&amp;DATE(2026,P$5+1,1),'3. 5기 수입지출장부'!$E$5:$E$2006,"&gt;0")&gt;0,"■","")</f>
        <v/>
      </c>
      <c r="Q19" s="216">
        <f>'3. 5기 수입지출장부'!E201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수입지출장부'!$C$5:$C$2006,$C20,'3. 5기 수입지출장부'!$A$5:$A$2006,"&gt;="&amp;DATE(2026,E$5,1),'3. 5기 수입지출장부'!$A$5:$A$2006,"&lt;"&amp;DATE(2026,E$5+1,1),'3. 5기 수입지출장부'!$E$5:$E$2006,"&gt;0")&gt;0,"■","")</f>
        <v/>
      </c>
      <c r="F21" s="14" t="str">
        <f>IF(COUNTIFS('3. 5기 수입지출장부'!$C$5:$C$2006,$C20,'3. 5기 수입지출장부'!$A$5:$A$2006,"&gt;="&amp;DATE(2026,F$5,1),'3. 5기 수입지출장부'!$A$5:$A$2006,"&lt;"&amp;DATE(2026,F$5+1,1),'3. 5기 수입지출장부'!$E$5:$E$2006,"&gt;0")&gt;0,"■","")</f>
        <v/>
      </c>
      <c r="G21" s="14" t="str">
        <f>IF(COUNTIFS('3. 5기 수입지출장부'!$C$5:$C$2006,$C20,'3. 5기 수입지출장부'!$A$5:$A$2006,"&gt;="&amp;DATE(2026,G$5,1),'3. 5기 수입지출장부'!$A$5:$A$2006,"&lt;"&amp;DATE(2026,G$5+1,1),'3. 5기 수입지출장부'!$E$5:$E$2006,"&gt;0")&gt;0,"■","")</f>
        <v/>
      </c>
      <c r="H21" s="9" t="str">
        <f>IF(COUNTIFS('3. 5기 수입지출장부'!$C$5:$C$2006,$C20,'3. 5기 수입지출장부'!$A$5:$A$2006,"&gt;="&amp;DATE(2026,H$5,1),'3. 5기 수입지출장부'!$A$5:$A$2006,"&lt;"&amp;DATE(2026,H$5+1,1),'3. 5기 수입지출장부'!$E$5:$E$2006,"&gt;0")&gt;0,"■","")</f>
        <v/>
      </c>
      <c r="I21" s="14" t="str">
        <f>IF(COUNTIFS('3. 5기 수입지출장부'!$C$5:$C$2006,$C20,'3. 5기 수입지출장부'!$A$5:$A$2006,"&gt;="&amp;DATE(2026,I$5,1),'3. 5기 수입지출장부'!$A$5:$A$2006,"&lt;"&amp;DATE(2026,I$5+1,1),'3. 5기 수입지출장부'!$E$5:$E$2006,"&gt;0")&gt;0,"■","")</f>
        <v/>
      </c>
      <c r="J21" s="9" t="str">
        <f>IF(COUNTIFS('3. 5기 수입지출장부'!$C$5:$C$2006,$C20,'3. 5기 수입지출장부'!$A$5:$A$2006,"&gt;="&amp;DATE(2026,J$5,1),'3. 5기 수입지출장부'!$A$5:$A$2006,"&lt;"&amp;DATE(2026,J$5+1,1),'3. 5기 수입지출장부'!$E$5:$E$2006,"&gt;0")&gt;0,"■","")</f>
        <v/>
      </c>
      <c r="K21" s="14" t="str">
        <f>IF(COUNTIFS('3. 5기 수입지출장부'!$C$5:$C$2006,$C20,'3. 5기 수입지출장부'!$A$5:$A$2006,"&gt;="&amp;DATE(2026,K$5,1),'3. 5기 수입지출장부'!$A$5:$A$2006,"&lt;"&amp;DATE(2026,K$5+1,1),'3. 5기 수입지출장부'!$E$5:$E$2006,"&gt;0")&gt;0,"■","")</f>
        <v/>
      </c>
      <c r="L21" s="14" t="str">
        <f>IF(COUNTIFS('3. 5기 수입지출장부'!$C$5:$C$2006,$C20,'3. 5기 수입지출장부'!$A$5:$A$2006,"&gt;="&amp;DATE(2026,L$5,1),'3. 5기 수입지출장부'!$A$5:$A$2006,"&lt;"&amp;DATE(2026,L$5+1,1),'3. 5기 수입지출장부'!$E$5:$E$2006,"&gt;0")&gt;0,"■","")</f>
        <v>■</v>
      </c>
      <c r="M21" s="14" t="str">
        <f>IF(COUNTIFS('3. 5기 수입지출장부'!$C$5:$C$2006,$C20,'3. 5기 수입지출장부'!$A$5:$A$2006,"&gt;="&amp;DATE(2026,M$5,1),'3. 5기 수입지출장부'!$A$5:$A$2006,"&lt;"&amp;DATE(2026,M$5+1,1),'3. 5기 수입지출장부'!$E$5:$E$2006,"&gt;0")&gt;0,"■","")</f>
        <v/>
      </c>
      <c r="N21" s="14" t="str">
        <f>IF(COUNTIFS('3. 5기 수입지출장부'!$C$5:$C$2006,$C20,'3. 5기 수입지출장부'!$A$5:$A$2006,"&gt;="&amp;DATE(2026,N$5,1),'3. 5기 수입지출장부'!$A$5:$A$2006,"&lt;"&amp;DATE(2026,N$5+1,1),'3. 5기 수입지출장부'!$E$5:$E$2006,"&gt;0")&gt;0,"■","")</f>
        <v/>
      </c>
      <c r="O21" s="21" t="str">
        <f>IF(COUNTIFS('3. 5기 수입지출장부'!$C$5:$C$2006,$C20,'3. 5기 수입지출장부'!$A$5:$A$2006,"&gt;="&amp;DATE(2026,O$5,1),'3. 5기 수입지출장부'!$A$5:$A$2006,"&lt;"&amp;DATE(2026,O$5+1,1),'3. 5기 수입지출장부'!$E$5:$E$2006,"&gt;0")&gt;0,"■","")</f>
        <v/>
      </c>
      <c r="P21" s="14" t="str">
        <f>IF(COUNTIFS('3. 5기 수입지출장부'!$C$5:$C$2006,$C20,'3. 5기 수입지출장부'!$A$5:$A$2006,"&gt;="&amp;DATE(2026,P$5,1),'3. 5기 수입지출장부'!$A$5:$A$2006,"&lt;"&amp;DATE(2026,P$5+1,1),'3. 5기 수입지출장부'!$E$5:$E$2006,"&gt;0")&gt;0,"■","")</f>
        <v/>
      </c>
      <c r="Q21" s="206">
        <f>'3. 5기 수입지출장부'!E202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0.89473888888888886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수입지출장부'!$C$5:$C$2006,$C22,'3. 5기 수입지출장부'!$A$5:$A$2006,"&gt;="&amp;DATE(2026,E$5,1),'3. 5기 수입지출장부'!$A$5:$A$2006,"&lt;"&amp;DATE(2026,E$5+1,1),'3. 5기 수입지출장부'!$E$5:$E$2006,"&gt;0")&gt;0,"■","")</f>
        <v/>
      </c>
      <c r="F23" s="9" t="str">
        <f>IF(COUNTIFS('3. 5기 수입지출장부'!$C$5:$C$2006,$C22,'3. 5기 수입지출장부'!$A$5:$A$2006,"&gt;="&amp;DATE(2026,F$5,1),'3. 5기 수입지출장부'!$A$5:$A$2006,"&lt;"&amp;DATE(2026,F$5+1,1),'3. 5기 수입지출장부'!$E$5:$E$2006,"&gt;0")&gt;0,"■","")</f>
        <v/>
      </c>
      <c r="G23" s="9" t="str">
        <f>IF(COUNTIFS('3. 5기 수입지출장부'!$C$5:$C$2006,$C22,'3. 5기 수입지출장부'!$A$5:$A$2006,"&gt;="&amp;DATE(2026,G$5,1),'3. 5기 수입지출장부'!$A$5:$A$2006,"&lt;"&amp;DATE(2026,G$5+1,1),'3. 5기 수입지출장부'!$E$5:$E$2006,"&gt;0")&gt;0,"■","")</f>
        <v>■</v>
      </c>
      <c r="H23" s="9" t="str">
        <f>IF(COUNTIFS('3. 5기 수입지출장부'!$C$5:$C$2006,$C22,'3. 5기 수입지출장부'!$A$5:$A$2006,"&gt;="&amp;DATE(2026,H$5,1),'3. 5기 수입지출장부'!$A$5:$A$2006,"&lt;"&amp;DATE(2026,H$5+1,1),'3. 5기 수입지출장부'!$E$5:$E$2006,"&gt;0")&gt;0,"■","")</f>
        <v>■</v>
      </c>
      <c r="I23" s="9" t="str">
        <f>IF(COUNTIFS('3. 5기 수입지출장부'!$C$5:$C$2006,$C22,'3. 5기 수입지출장부'!$A$5:$A$2006,"&gt;="&amp;DATE(2026,I$5,1),'3. 5기 수입지출장부'!$A$5:$A$2006,"&lt;"&amp;DATE(2026,I$5+1,1),'3. 5기 수입지출장부'!$E$5:$E$2006,"&gt;0")&gt;0,"■","")</f>
        <v>■</v>
      </c>
      <c r="J23" s="9" t="str">
        <f>IF(COUNTIFS('3. 5기 수입지출장부'!$C$5:$C$2006,$C22,'3. 5기 수입지출장부'!$A$5:$A$2006,"&gt;="&amp;DATE(2026,J$5,1),'3. 5기 수입지출장부'!$A$5:$A$2006,"&lt;"&amp;DATE(2026,J$5+1,1),'3. 5기 수입지출장부'!$E$5:$E$2006,"&gt;0")&gt;0,"■","")</f>
        <v>■</v>
      </c>
      <c r="K23" s="9" t="str">
        <f>IF(COUNTIFS('3. 5기 수입지출장부'!$C$5:$C$2006,$C22,'3. 5기 수입지출장부'!$A$5:$A$2006,"&gt;="&amp;DATE(2026,K$5,1),'3. 5기 수입지출장부'!$A$5:$A$2006,"&lt;"&amp;DATE(2026,K$5+1,1),'3. 5기 수입지출장부'!$E$5:$E$2006,"&gt;0")&gt;0,"■","")</f>
        <v>■</v>
      </c>
      <c r="L23" s="9" t="str">
        <f>IF(COUNTIFS('3. 5기 수입지출장부'!$C$5:$C$2006,$C22,'3. 5기 수입지출장부'!$A$5:$A$2006,"&gt;="&amp;DATE(2026,L$5,1),'3. 5기 수입지출장부'!$A$5:$A$2006,"&lt;"&amp;DATE(2026,L$5+1,1),'3. 5기 수입지출장부'!$E$5:$E$2006,"&gt;0")&gt;0,"■","")</f>
        <v>■</v>
      </c>
      <c r="M23" s="9" t="str">
        <f>IF(COUNTIFS('3. 5기 수입지출장부'!$C$5:$C$2006,$C22,'3. 5기 수입지출장부'!$A$5:$A$2006,"&gt;="&amp;DATE(2026,M$5,1),'3. 5기 수입지출장부'!$A$5:$A$2006,"&lt;"&amp;DATE(2026,M$5+1,1),'3. 5기 수입지출장부'!$E$5:$E$2006,"&gt;0")&gt;0,"■","")</f>
        <v>■</v>
      </c>
      <c r="N23" s="9" t="str">
        <f>IF(COUNTIFS('3. 5기 수입지출장부'!$C$5:$C$2006,$C22,'3. 5기 수입지출장부'!$A$5:$A$2006,"&gt;="&amp;DATE(2026,N$5,1),'3. 5기 수입지출장부'!$A$5:$A$2006,"&lt;"&amp;DATE(2026,N$5+1,1),'3. 5기 수입지출장부'!$E$5:$E$2006,"&gt;0")&gt;0,"■","")</f>
        <v>■</v>
      </c>
      <c r="O23" s="9" t="str">
        <f>IF(COUNTIFS('3. 5기 수입지출장부'!$C$5:$C$2006,$C22,'3. 5기 수입지출장부'!$A$5:$A$2006,"&gt;="&amp;DATE(2026,O$5,1),'3. 5기 수입지출장부'!$A$5:$A$2006,"&lt;"&amp;DATE(2026,O$5+1,1),'3. 5기 수입지출장부'!$E$5:$E$2006,"&gt;0")&gt;0,"■","")</f>
        <v/>
      </c>
      <c r="P23" s="9" t="str">
        <f>IF(COUNTIFS('3. 5기 수입지출장부'!$C$5:$C$2006,$C22,'3. 5기 수입지출장부'!$A$5:$A$2006,"&gt;="&amp;DATE(2026,P$5,1),'3. 5기 수입지출장부'!$A$5:$A$2006,"&lt;"&amp;DATE(2026,P$5+1,1),'3. 5기 수입지출장부'!$E$5:$E$2006,"&gt;0")&gt;0,"■","")</f>
        <v/>
      </c>
      <c r="Q23" s="206">
        <f>'3. 5기 수입지출장부'!E204</f>
        <v>3221060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수입지출장부'!$C$5:$C$2006,$C24,'3. 5기 수입지출장부'!$A$5:$A$2006,"&gt;="&amp;DATE(2026,E$5,1),'3. 5기 수입지출장부'!$A$5:$A$2006,"&lt;"&amp;DATE(2026,E$5+1,1),'3. 5기 수입지출장부'!$E$5:$E$2006,"&gt;0")&gt;0,"■","")</f>
        <v/>
      </c>
      <c r="F25" s="14" t="str">
        <f>IF(COUNTIFS('3. 5기 수입지출장부'!$C$5:$C$2006,$C24,'3. 5기 수입지출장부'!$A$5:$A$2006,"&gt;="&amp;DATE(2026,F$5,1),'3. 5기 수입지출장부'!$A$5:$A$2006,"&lt;"&amp;DATE(2026,F$5+1,1),'3. 5기 수입지출장부'!$E$5:$E$2006,"&gt;0")&gt;0,"■","")</f>
        <v/>
      </c>
      <c r="G25" s="9" t="str">
        <f>IF(COUNTIFS('3. 5기 수입지출장부'!$C$5:$C$2006,$C24,'3. 5기 수입지출장부'!$A$5:$A$2006,"&gt;="&amp;DATE(2026,G$5,1),'3. 5기 수입지출장부'!$A$5:$A$2006,"&lt;"&amp;DATE(2026,G$5+1,1),'3. 5기 수입지출장부'!$E$5:$E$2006,"&gt;0")&gt;0,"■","")</f>
        <v>■</v>
      </c>
      <c r="H25" s="9" t="str">
        <f>IF(COUNTIFS('3. 5기 수입지출장부'!$C$5:$C$2006,$C24,'3. 5기 수입지출장부'!$A$5:$A$2006,"&gt;="&amp;DATE(2026,H$5,1),'3. 5기 수입지출장부'!$A$5:$A$2006,"&lt;"&amp;DATE(2026,H$5+1,1),'3. 5기 수입지출장부'!$E$5:$E$2006,"&gt;0")&gt;0,"■","")</f>
        <v>■</v>
      </c>
      <c r="I25" s="9" t="str">
        <f>IF(COUNTIFS('3. 5기 수입지출장부'!$C$5:$C$2006,$C24,'3. 5기 수입지출장부'!$A$5:$A$2006,"&gt;="&amp;DATE(2026,I$5,1),'3. 5기 수입지출장부'!$A$5:$A$2006,"&lt;"&amp;DATE(2026,I$5+1,1),'3. 5기 수입지출장부'!$E$5:$E$2006,"&gt;0")&gt;0,"■","")</f>
        <v>■</v>
      </c>
      <c r="J25" s="9" t="str">
        <f>IF(COUNTIFS('3. 5기 수입지출장부'!$C$5:$C$2006,$C24,'3. 5기 수입지출장부'!$A$5:$A$2006,"&gt;="&amp;DATE(2026,J$5,1),'3. 5기 수입지출장부'!$A$5:$A$2006,"&lt;"&amp;DATE(2026,J$5+1,1),'3. 5기 수입지출장부'!$E$5:$E$2006,"&gt;0")&gt;0,"■","")</f>
        <v/>
      </c>
      <c r="K25" s="9" t="str">
        <f>IF(COUNTIFS('3. 5기 수입지출장부'!$C$5:$C$2006,$C24,'3. 5기 수입지출장부'!$A$5:$A$2006,"&gt;="&amp;DATE(2026,K$5,1),'3. 5기 수입지출장부'!$A$5:$A$2006,"&lt;"&amp;DATE(2026,K$5+1,1),'3. 5기 수입지출장부'!$E$5:$E$2006,"&gt;0")&gt;0,"■","")</f>
        <v>■</v>
      </c>
      <c r="L25" s="9" t="str">
        <f>IF(COUNTIFS('3. 5기 수입지출장부'!$C$5:$C$2006,$C24,'3. 5기 수입지출장부'!$A$5:$A$2006,"&gt;="&amp;DATE(2026,L$5,1),'3. 5기 수입지출장부'!$A$5:$A$2006,"&lt;"&amp;DATE(2026,L$5+1,1),'3. 5기 수입지출장부'!$E$5:$E$2006,"&gt;0")&gt;0,"■","")</f>
        <v>■</v>
      </c>
      <c r="M25" s="9" t="str">
        <f>IF(COUNTIFS('3. 5기 수입지출장부'!$C$5:$C$2006,$C24,'3. 5기 수입지출장부'!$A$5:$A$2006,"&gt;="&amp;DATE(2026,M$5,1),'3. 5기 수입지출장부'!$A$5:$A$2006,"&lt;"&amp;DATE(2026,M$5+1,1),'3. 5기 수입지출장부'!$E$5:$E$2006,"&gt;0")&gt;0,"■","")</f>
        <v>■</v>
      </c>
      <c r="N25" s="9" t="str">
        <f>IF(COUNTIFS('3. 5기 수입지출장부'!$C$5:$C$2006,$C24,'3. 5기 수입지출장부'!$A$5:$A$2006,"&gt;="&amp;DATE(2026,N$5,1),'3. 5기 수입지출장부'!$A$5:$A$2006,"&lt;"&amp;DATE(2026,N$5+1,1),'3. 5기 수입지출장부'!$E$5:$E$2006,"&gt;0")&gt;0,"■","")</f>
        <v/>
      </c>
      <c r="O25" s="9" t="str">
        <f>IF(COUNTIFS('3. 5기 수입지출장부'!$C$5:$C$2006,$C24,'3. 5기 수입지출장부'!$A$5:$A$2006,"&gt;="&amp;DATE(2026,O$5,1),'3. 5기 수입지출장부'!$A$5:$A$2006,"&lt;"&amp;DATE(2026,O$5+1,1),'3. 5기 수입지출장부'!$E$5:$E$2006,"&gt;0")&gt;0,"■","")</f>
        <v/>
      </c>
      <c r="P25" s="9" t="str">
        <f>IF(COUNTIFS('3. 5기 수입지출장부'!$C$5:$C$2006,$C24,'3. 5기 수입지출장부'!$A$5:$A$2006,"&gt;="&amp;DATE(2026,P$5,1),'3. 5기 수입지출장부'!$A$5:$A$2006,"&lt;"&amp;DATE(2026,P$5+1,1),'3. 5기 수입지출장부'!$E$5:$E$2006,"&gt;0")&gt;0,"■","")</f>
        <v/>
      </c>
      <c r="Q25" s="206">
        <f>'3. 5기 수입지출장부'!E205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수입지출장부'!$C$5:$C$2006,$C26,'3. 5기 수입지출장부'!$A$5:$A$2006,"&gt;="&amp;DATE(2026,E$5,1),'3. 5기 수입지출장부'!$A$5:$A$2006,"&lt;"&amp;DATE(2026,E$5+1,1),'3. 5기 수입지출장부'!$E$5:$E$2006,"&gt;0")&gt;0,"■","")</f>
        <v/>
      </c>
      <c r="F27" s="14" t="str">
        <f>IF(COUNTIFS('3. 5기 수입지출장부'!$C$5:$C$2006,$C26,'3. 5기 수입지출장부'!$A$5:$A$2006,"&gt;="&amp;DATE(2026,F$5,1),'3. 5기 수입지출장부'!$A$5:$A$2006,"&lt;"&amp;DATE(2026,F$5+1,1),'3. 5기 수입지출장부'!$E$5:$E$2006,"&gt;0")&gt;0,"■","")</f>
        <v/>
      </c>
      <c r="G27" s="14" t="str">
        <f>IF(COUNTIFS('3. 5기 수입지출장부'!$C$5:$C$2006,$C26,'3. 5기 수입지출장부'!$A$5:$A$2006,"&gt;="&amp;DATE(2026,G$5,1),'3. 5기 수입지출장부'!$A$5:$A$2006,"&lt;"&amp;DATE(2026,G$5+1,1),'3. 5기 수입지출장부'!$E$5:$E$2006,"&gt;0")&gt;0,"■","")</f>
        <v/>
      </c>
      <c r="H27" s="14" t="str">
        <f>IF(COUNTIFS('3. 5기 수입지출장부'!$C$5:$C$2006,$C26,'3. 5기 수입지출장부'!$A$5:$A$2006,"&gt;="&amp;DATE(2026,H$5,1),'3. 5기 수입지출장부'!$A$5:$A$2006,"&lt;"&amp;DATE(2026,H$5+1,1),'3. 5기 수입지출장부'!$E$5:$E$2006,"&gt;0")&gt;0,"■","")</f>
        <v/>
      </c>
      <c r="I27" s="14" t="str">
        <f>IF(COUNTIFS('3. 5기 수입지출장부'!$C$5:$C$2006,$C26,'3. 5기 수입지출장부'!$A$5:$A$2006,"&gt;="&amp;DATE(2026,I$5,1),'3. 5기 수입지출장부'!$A$5:$A$2006,"&lt;"&amp;DATE(2026,I$5+1,1),'3. 5기 수입지출장부'!$E$5:$E$2006,"&gt;0")&gt;0,"■","")</f>
        <v/>
      </c>
      <c r="J27" s="14" t="str">
        <f>IF(COUNTIFS('3. 5기 수입지출장부'!$C$5:$C$2006,$C26,'3. 5기 수입지출장부'!$A$5:$A$2006,"&gt;="&amp;DATE(2026,J$5,1),'3. 5기 수입지출장부'!$A$5:$A$2006,"&lt;"&amp;DATE(2026,J$5+1,1),'3. 5기 수입지출장부'!$E$5:$E$2006,"&gt;0")&gt;0,"■","")</f>
        <v/>
      </c>
      <c r="K27" s="14" t="str">
        <f>IF(COUNTIFS('3. 5기 수입지출장부'!$C$5:$C$2006,$C26,'3. 5기 수입지출장부'!$A$5:$A$2006,"&gt;="&amp;DATE(2026,K$5,1),'3. 5기 수입지출장부'!$A$5:$A$2006,"&lt;"&amp;DATE(2026,K$5+1,1),'3. 5기 수입지출장부'!$E$5:$E$2006,"&gt;0")&gt;0,"■","")</f>
        <v/>
      </c>
      <c r="L27" s="14" t="str">
        <f>IF(COUNTIFS('3. 5기 수입지출장부'!$C$5:$C$2006,$C26,'3. 5기 수입지출장부'!$A$5:$A$2006,"&gt;="&amp;DATE(2026,L$5,1),'3. 5기 수입지출장부'!$A$5:$A$2006,"&lt;"&amp;DATE(2026,L$5+1,1),'3. 5기 수입지출장부'!$E$5:$E$2006,"&gt;0")&gt;0,"■","")</f>
        <v/>
      </c>
      <c r="M27" s="14" t="str">
        <f>IF(COUNTIFS('3. 5기 수입지출장부'!$C$5:$C$2006,$C26,'3. 5기 수입지출장부'!$A$5:$A$2006,"&gt;="&amp;DATE(2026,M$5,1),'3. 5기 수입지출장부'!$A$5:$A$2006,"&lt;"&amp;DATE(2026,M$5+1,1),'3. 5기 수입지출장부'!$E$5:$E$2006,"&gt;0")&gt;0,"■","")</f>
        <v/>
      </c>
      <c r="N27" s="14" t="str">
        <f>IF(COUNTIFS('3. 5기 수입지출장부'!$C$5:$C$2006,$C26,'3. 5기 수입지출장부'!$A$5:$A$2006,"&gt;="&amp;DATE(2026,N$5,1),'3. 5기 수입지출장부'!$A$5:$A$2006,"&lt;"&amp;DATE(2026,N$5+1,1),'3. 5기 수입지출장부'!$E$5:$E$2006,"&gt;0")&gt;0,"■","")</f>
        <v/>
      </c>
      <c r="O27" s="14" t="str">
        <f>IF(COUNTIFS('3. 5기 수입지출장부'!$C$5:$C$2006,$C26,'3. 5기 수입지출장부'!$A$5:$A$2006,"&gt;="&amp;DATE(2026,O$5,1),'3. 5기 수입지출장부'!$A$5:$A$2006,"&lt;"&amp;DATE(2026,O$5+1,1),'3. 5기 수입지출장부'!$E$5:$E$2006,"&gt;0")&gt;0,"■","")</f>
        <v/>
      </c>
      <c r="P27" s="9" t="str">
        <f>IF(COUNTIFS('3. 5기 수입지출장부'!$C$5:$C$2006,$C26,'3. 5기 수입지출장부'!$A$5:$A$2006,"&gt;="&amp;DATE(2026,P$5,1),'3. 5기 수입지출장부'!$A$5:$A$2006,"&lt;"&amp;DATE(2026,P$5+1,1),'3. 5기 수입지출장부'!$E$5:$E$2006,"&gt;0")&gt;0,"■","")</f>
        <v/>
      </c>
      <c r="Q27" s="206">
        <f>'3. 5기 수입지출장부'!E206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수입지출장부'!$C$5:$C$2006,$C28,'3. 5기 수입지출장부'!$A$5:$A$2006,"&gt;="&amp;DATE(2026,E$5,1),'3. 5기 수입지출장부'!$A$5:$A$2006,"&lt;"&amp;DATE(2026,E$5+1,1),'3. 5기 수입지출장부'!$E$5:$E$2006,"&gt;0")&gt;0,"■","")</f>
        <v/>
      </c>
      <c r="F29" s="14" t="str">
        <f>IF(COUNTIFS('3. 5기 수입지출장부'!$C$5:$C$2006,$C28,'3. 5기 수입지출장부'!$A$5:$A$2006,"&gt;="&amp;DATE(2026,F$5,1),'3. 5기 수입지출장부'!$A$5:$A$2006,"&lt;"&amp;DATE(2026,F$5+1,1),'3. 5기 수입지출장부'!$E$5:$E$2006,"&gt;0")&gt;0,"■","")</f>
        <v/>
      </c>
      <c r="G29" s="14" t="str">
        <f>IF(COUNTIFS('3. 5기 수입지출장부'!$C$5:$C$2006,$C28,'3. 5기 수입지출장부'!$A$5:$A$2006,"&gt;="&amp;DATE(2026,G$5,1),'3. 5기 수입지출장부'!$A$5:$A$2006,"&lt;"&amp;DATE(2026,G$5+1,1),'3. 5기 수입지출장부'!$E$5:$E$2006,"&gt;0")&gt;0,"■","")</f>
        <v/>
      </c>
      <c r="H29" s="14" t="str">
        <f>IF(COUNTIFS('3. 5기 수입지출장부'!$C$5:$C$2006,$C28,'3. 5기 수입지출장부'!$A$5:$A$2006,"&gt;="&amp;DATE(2026,H$5,1),'3. 5기 수입지출장부'!$A$5:$A$2006,"&lt;"&amp;DATE(2026,H$5+1,1),'3. 5기 수입지출장부'!$E$5:$E$2006,"&gt;0")&gt;0,"■","")</f>
        <v/>
      </c>
      <c r="I29" s="14" t="str">
        <f>IF(COUNTIFS('3. 5기 수입지출장부'!$C$5:$C$2006,$C28,'3. 5기 수입지출장부'!$A$5:$A$2006,"&gt;="&amp;DATE(2026,I$5,1),'3. 5기 수입지출장부'!$A$5:$A$2006,"&lt;"&amp;DATE(2026,I$5+1,1),'3. 5기 수입지출장부'!$E$5:$E$2006,"&gt;0")&gt;0,"■","")</f>
        <v/>
      </c>
      <c r="J29" s="14" t="str">
        <f>IF(COUNTIFS('3. 5기 수입지출장부'!$C$5:$C$2006,$C28,'3. 5기 수입지출장부'!$A$5:$A$2006,"&gt;="&amp;DATE(2026,J$5,1),'3. 5기 수입지출장부'!$A$5:$A$2006,"&lt;"&amp;DATE(2026,J$5+1,1),'3. 5기 수입지출장부'!$E$5:$E$2006,"&gt;0")&gt;0,"■","")</f>
        <v/>
      </c>
      <c r="K29" s="14" t="str">
        <f>IF(COUNTIFS('3. 5기 수입지출장부'!$C$5:$C$2006,$C28,'3. 5기 수입지출장부'!$A$5:$A$2006,"&gt;="&amp;DATE(2026,K$5,1),'3. 5기 수입지출장부'!$A$5:$A$2006,"&lt;"&amp;DATE(2026,K$5+1,1),'3. 5기 수입지출장부'!$E$5:$E$2006,"&gt;0")&gt;0,"■","")</f>
        <v/>
      </c>
      <c r="L29" s="14" t="str">
        <f>IF(COUNTIFS('3. 5기 수입지출장부'!$C$5:$C$2006,$C28,'3. 5기 수입지출장부'!$A$5:$A$2006,"&gt;="&amp;DATE(2026,L$5,1),'3. 5기 수입지출장부'!$A$5:$A$2006,"&lt;"&amp;DATE(2026,L$5+1,1),'3. 5기 수입지출장부'!$E$5:$E$2006,"&gt;0")&gt;0,"■","")</f>
        <v/>
      </c>
      <c r="M29" s="9" t="str">
        <f>IF(COUNTIFS('3. 5기 수입지출장부'!$C$5:$C$2006,$C28,'3. 5기 수입지출장부'!$A$5:$A$2006,"&gt;="&amp;DATE(2026,M$5,1),'3. 5기 수입지출장부'!$A$5:$A$2006,"&lt;"&amp;DATE(2026,M$5+1,1),'3. 5기 수입지출장부'!$E$5:$E$2006,"&gt;0")&gt;0,"■","")</f>
        <v/>
      </c>
      <c r="N29" s="9" t="str">
        <f>IF(COUNTIFS('3. 5기 수입지출장부'!$C$5:$C$2006,$C28,'3. 5기 수입지출장부'!$A$5:$A$2006,"&gt;="&amp;DATE(2026,N$5,1),'3. 5기 수입지출장부'!$A$5:$A$2006,"&lt;"&amp;DATE(2026,N$5+1,1),'3. 5기 수입지출장부'!$E$5:$E$2006,"&gt;0")&gt;0,"■","")</f>
        <v/>
      </c>
      <c r="O29" s="21" t="str">
        <f>IF(COUNTIFS('3. 5기 수입지출장부'!$C$5:$C$2006,$C28,'3. 5기 수입지출장부'!$A$5:$A$2006,"&gt;="&amp;DATE(2026,O$5,1),'3. 5기 수입지출장부'!$A$5:$A$2006,"&lt;"&amp;DATE(2026,O$5+1,1),'3. 5기 수입지출장부'!$E$5:$E$2006,"&gt;0")&gt;0,"■","")</f>
        <v/>
      </c>
      <c r="P29" s="14" t="str">
        <f>IF(COUNTIFS('3. 5기 수입지출장부'!$C$5:$C$2006,$C28,'3. 5기 수입지출장부'!$A$5:$A$2006,"&gt;="&amp;DATE(2026,P$5,1),'3. 5기 수입지출장부'!$A$5:$A$2006,"&lt;"&amp;DATE(2026,P$5+1,1),'3. 5기 수입지출장부'!$E$5:$E$2006,"&gt;0")&gt;0,"■","")</f>
        <v/>
      </c>
      <c r="Q29" s="206">
        <f>'3. 5기 수입지출장부'!E207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수입지출장부'!$C$5:$C$2006,$C30,'3. 5기 수입지출장부'!$A$5:$A$2006,"&gt;="&amp;DATE(2026,E$5,1),'3. 5기 수입지출장부'!$A$5:$A$2006,"&lt;"&amp;DATE(2026,E$5+1,1),'3. 5기 수입지출장부'!$E$5:$E$2006,"&gt;0")&gt;0,"■","")</f>
        <v/>
      </c>
      <c r="F31" s="14" t="str">
        <f>IF(COUNTIFS('3. 5기 수입지출장부'!$C$5:$C$2006,$C30,'3. 5기 수입지출장부'!$A$5:$A$2006,"&gt;="&amp;DATE(2026,F$5,1),'3. 5기 수입지출장부'!$A$5:$A$2006,"&lt;"&amp;DATE(2026,F$5+1,1),'3. 5기 수입지출장부'!$E$5:$E$2006,"&gt;0")&gt;0,"■","")</f>
        <v/>
      </c>
      <c r="G31" s="14" t="str">
        <f>IF(COUNTIFS('3. 5기 수입지출장부'!$C$5:$C$2006,$C30,'3. 5기 수입지출장부'!$A$5:$A$2006,"&gt;="&amp;DATE(2026,G$5,1),'3. 5기 수입지출장부'!$A$5:$A$2006,"&lt;"&amp;DATE(2026,G$5+1,1),'3. 5기 수입지출장부'!$E$5:$E$2006,"&gt;0")&gt;0,"■","")</f>
        <v/>
      </c>
      <c r="H31" s="14" t="str">
        <f>IF(COUNTIFS('3. 5기 수입지출장부'!$C$5:$C$2006,$C30,'3. 5기 수입지출장부'!$A$5:$A$2006,"&gt;="&amp;DATE(2026,H$5,1),'3. 5기 수입지출장부'!$A$5:$A$2006,"&lt;"&amp;DATE(2026,H$5+1,1),'3. 5기 수입지출장부'!$E$5:$E$2006,"&gt;0")&gt;0,"■","")</f>
        <v/>
      </c>
      <c r="I31" s="9" t="str">
        <f>IF(COUNTIFS('3. 5기 수입지출장부'!$C$5:$C$2006,$C30,'3. 5기 수입지출장부'!$A$5:$A$2006,"&gt;="&amp;DATE(2026,I$5,1),'3. 5기 수입지출장부'!$A$5:$A$2006,"&lt;"&amp;DATE(2026,I$5+1,1),'3. 5기 수입지출장부'!$E$5:$E$2006,"&gt;0")&gt;0,"■","")</f>
        <v/>
      </c>
      <c r="J31" s="9" t="str">
        <f>IF(COUNTIFS('3. 5기 수입지출장부'!$C$5:$C$2006,$C30,'3. 5기 수입지출장부'!$A$5:$A$2006,"&gt;="&amp;DATE(2026,J$5,1),'3. 5기 수입지출장부'!$A$5:$A$2006,"&lt;"&amp;DATE(2026,J$5+1,1),'3. 5기 수입지출장부'!$E$5:$E$2006,"&gt;0")&gt;0,"■","")</f>
        <v/>
      </c>
      <c r="K31" s="14" t="str">
        <f>IF(COUNTIFS('3. 5기 수입지출장부'!$C$5:$C$2006,$C30,'3. 5기 수입지출장부'!$A$5:$A$2006,"&gt;="&amp;DATE(2026,K$5,1),'3. 5기 수입지출장부'!$A$5:$A$2006,"&lt;"&amp;DATE(2026,K$5+1,1),'3. 5기 수입지출장부'!$E$5:$E$2006,"&gt;0")&gt;0,"■","")</f>
        <v/>
      </c>
      <c r="L31" s="14" t="str">
        <f>IF(COUNTIFS('3. 5기 수입지출장부'!$C$5:$C$2006,$C30,'3. 5기 수입지출장부'!$A$5:$A$2006,"&gt;="&amp;DATE(2026,L$5,1),'3. 5기 수입지출장부'!$A$5:$A$2006,"&lt;"&amp;DATE(2026,L$5+1,1),'3. 5기 수입지출장부'!$E$5:$E$2006,"&gt;0")&gt;0,"■","")</f>
        <v/>
      </c>
      <c r="M31" s="14" t="str">
        <f>IF(COUNTIFS('3. 5기 수입지출장부'!$C$5:$C$2006,$C30,'3. 5기 수입지출장부'!$A$5:$A$2006,"&gt;="&amp;DATE(2026,M$5,1),'3. 5기 수입지출장부'!$A$5:$A$2006,"&lt;"&amp;DATE(2026,M$5+1,1),'3. 5기 수입지출장부'!$E$5:$E$2006,"&gt;0")&gt;0,"■","")</f>
        <v/>
      </c>
      <c r="N31" s="14" t="str">
        <f>IF(COUNTIFS('3. 5기 수입지출장부'!$C$5:$C$2006,$C30,'3. 5기 수입지출장부'!$A$5:$A$2006,"&gt;="&amp;DATE(2026,N$5,1),'3. 5기 수입지출장부'!$A$5:$A$2006,"&lt;"&amp;DATE(2026,N$5+1,1),'3. 5기 수입지출장부'!$E$5:$E$2006,"&gt;0")&gt;0,"■","")</f>
        <v/>
      </c>
      <c r="O31" s="21" t="str">
        <f>IF(COUNTIFS('3. 5기 수입지출장부'!$C$5:$C$2006,$C30,'3. 5기 수입지출장부'!$A$5:$A$2006,"&gt;="&amp;DATE(2026,O$5,1),'3. 5기 수입지출장부'!$A$5:$A$2006,"&lt;"&amp;DATE(2026,O$5+1,1),'3. 5기 수입지출장부'!$E$5:$E$2006,"&gt;0")&gt;0,"■","")</f>
        <v/>
      </c>
      <c r="P31" s="14" t="str">
        <f>IF(COUNTIFS('3. 5기 수입지출장부'!$C$5:$C$2006,$C30,'3. 5기 수입지출장부'!$A$5:$A$2006,"&gt;="&amp;DATE(2026,P$5,1),'3. 5기 수입지출장부'!$A$5:$A$2006,"&lt;"&amp;DATE(2026,P$5+1,1),'3. 5기 수입지출장부'!$E$5:$E$2006,"&gt;0")&gt;0,"■","")</f>
        <v/>
      </c>
      <c r="Q31" s="206">
        <f>'3. 5기 수입지출장부'!E208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수입지출장부'!$C$5:$C$2006,$C32,'3. 5기 수입지출장부'!$A$5:$A$2006,"&gt;="&amp;DATE(2026,E$5,1),'3. 5기 수입지출장부'!$A$5:$A$2006,"&lt;"&amp;DATE(2026,E$5+1,1),'3. 5기 수입지출장부'!$E$5:$E$2006,"&gt;0")&gt;0,"■","")</f>
        <v/>
      </c>
      <c r="F33" s="14" t="str">
        <f>IF(COUNTIFS('3. 5기 수입지출장부'!$C$5:$C$2006,$C32,'3. 5기 수입지출장부'!$A$5:$A$2006,"&gt;="&amp;DATE(2026,F$5,1),'3. 5기 수입지출장부'!$A$5:$A$2006,"&lt;"&amp;DATE(2026,F$5+1,1),'3. 5기 수입지출장부'!$E$5:$E$2006,"&gt;0")&gt;0,"■","")</f>
        <v/>
      </c>
      <c r="G33" s="14" t="str">
        <f>IF(COUNTIFS('3. 5기 수입지출장부'!$C$5:$C$2006,$C32,'3. 5기 수입지출장부'!$A$5:$A$2006,"&gt;="&amp;DATE(2026,G$5,1),'3. 5기 수입지출장부'!$A$5:$A$2006,"&lt;"&amp;DATE(2026,G$5+1,1),'3. 5기 수입지출장부'!$E$5:$E$2006,"&gt;0")&gt;0,"■","")</f>
        <v/>
      </c>
      <c r="H33" s="14" t="str">
        <f>IF(COUNTIFS('3. 5기 수입지출장부'!$C$5:$C$2006,$C32,'3. 5기 수입지출장부'!$A$5:$A$2006,"&gt;="&amp;DATE(2026,H$5,1),'3. 5기 수입지출장부'!$A$5:$A$2006,"&lt;"&amp;DATE(2026,H$5+1,1),'3. 5기 수입지출장부'!$E$5:$E$2006,"&gt;0")&gt;0,"■","")</f>
        <v/>
      </c>
      <c r="I33" s="14" t="str">
        <f>IF(COUNTIFS('3. 5기 수입지출장부'!$C$5:$C$2006,$C32,'3. 5기 수입지출장부'!$A$5:$A$2006,"&gt;="&amp;DATE(2026,I$5,1),'3. 5기 수입지출장부'!$A$5:$A$2006,"&lt;"&amp;DATE(2026,I$5+1,1),'3. 5기 수입지출장부'!$E$5:$E$2006,"&gt;0")&gt;0,"■","")</f>
        <v/>
      </c>
      <c r="J33" s="14" t="str">
        <f>IF(COUNTIFS('3. 5기 수입지출장부'!$C$5:$C$2006,$C32,'3. 5기 수입지출장부'!$A$5:$A$2006,"&gt;="&amp;DATE(2026,J$5,1),'3. 5기 수입지출장부'!$A$5:$A$2006,"&lt;"&amp;DATE(2026,J$5+1,1),'3. 5기 수입지출장부'!$E$5:$E$2006,"&gt;0")&gt;0,"■","")</f>
        <v/>
      </c>
      <c r="K33" s="14" t="str">
        <f>IF(COUNTIFS('3. 5기 수입지출장부'!$C$5:$C$2006,$C32,'3. 5기 수입지출장부'!$A$5:$A$2006,"&gt;="&amp;DATE(2026,K$5,1),'3. 5기 수입지출장부'!$A$5:$A$2006,"&lt;"&amp;DATE(2026,K$5+1,1),'3. 5기 수입지출장부'!$E$5:$E$2006,"&gt;0")&gt;0,"■","")</f>
        <v/>
      </c>
      <c r="L33" s="14" t="str">
        <f>IF(COUNTIFS('3. 5기 수입지출장부'!$C$5:$C$2006,$C32,'3. 5기 수입지출장부'!$A$5:$A$2006,"&gt;="&amp;DATE(2026,L$5,1),'3. 5기 수입지출장부'!$A$5:$A$2006,"&lt;"&amp;DATE(2026,L$5+1,1),'3. 5기 수입지출장부'!$E$5:$E$2006,"&gt;0")&gt;0,"■","")</f>
        <v/>
      </c>
      <c r="M33" s="14" t="str">
        <f>IF(COUNTIFS('3. 5기 수입지출장부'!$C$5:$C$2006,$C32,'3. 5기 수입지출장부'!$A$5:$A$2006,"&gt;="&amp;DATE(2026,M$5,1),'3. 5기 수입지출장부'!$A$5:$A$2006,"&lt;"&amp;DATE(2026,M$5+1,1),'3. 5기 수입지출장부'!$E$5:$E$2006,"&gt;0")&gt;0,"■","")</f>
        <v/>
      </c>
      <c r="N33" s="11" t="str">
        <f>IF(COUNTIFS('3. 5기 수입지출장부'!$C$5:$C$2006,$C32,'3. 5기 수입지출장부'!$A$5:$A$2006,"&gt;="&amp;DATE(2026,N$5,1),'3. 5기 수입지출장부'!$A$5:$A$2006,"&lt;"&amp;DATE(2026,N$5+1,1),'3. 5기 수입지출장부'!$E$5:$E$2006,"&gt;0")&gt;0,"■","")</f>
        <v/>
      </c>
      <c r="O33" s="21" t="str">
        <f>IF(COUNTIFS('3. 5기 수입지출장부'!$C$5:$C$2006,$C32,'3. 5기 수입지출장부'!$A$5:$A$2006,"&gt;="&amp;DATE(2026,O$5,1),'3. 5기 수입지출장부'!$A$5:$A$2006,"&lt;"&amp;DATE(2026,O$5+1,1),'3. 5기 수입지출장부'!$E$5:$E$2006,"&gt;0")&gt;0,"■","")</f>
        <v/>
      </c>
      <c r="P33" s="14" t="str">
        <f>IF(COUNTIFS('3. 5기 수입지출장부'!$C$5:$C$2006,$C32,'3. 5기 수입지출장부'!$A$5:$A$2006,"&gt;="&amp;DATE(2026,P$5,1),'3. 5기 수입지출장부'!$A$5:$A$2006,"&lt;"&amp;DATE(2026,P$5+1,1),'3. 5기 수입지출장부'!$E$5:$E$2006,"&gt;0")&gt;0,"■","")</f>
        <v/>
      </c>
      <c r="Q33" s="206">
        <f>'3. 5기 수입지출장부'!E209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수입지출장부'!$C$5:$C$2006,$C34,'3. 5기 수입지출장부'!$A$5:$A$2006,"&gt;="&amp;DATE(2026,E$5,1),'3. 5기 수입지출장부'!$A$5:$A$2006,"&lt;"&amp;DATE(2026,E$5+1,1),'3. 5기 수입지출장부'!$E$5:$E$2006,"&gt;0")&gt;0,"■","")</f>
        <v/>
      </c>
      <c r="F35" s="14" t="str">
        <f>IF(COUNTIFS('3. 5기 수입지출장부'!$C$5:$C$2006,$C34,'3. 5기 수입지출장부'!$A$5:$A$2006,"&gt;="&amp;DATE(2026,F$5,1),'3. 5기 수입지출장부'!$A$5:$A$2006,"&lt;"&amp;DATE(2026,F$5+1,1),'3. 5기 수입지출장부'!$E$5:$E$2006,"&gt;0")&gt;0,"■","")</f>
        <v/>
      </c>
      <c r="G35" s="14" t="str">
        <f>IF(COUNTIFS('3. 5기 수입지출장부'!$C$5:$C$2006,$C34,'3. 5기 수입지출장부'!$A$5:$A$2006,"&gt;="&amp;DATE(2026,G$5,1),'3. 5기 수입지출장부'!$A$5:$A$2006,"&lt;"&amp;DATE(2026,G$5+1,1),'3. 5기 수입지출장부'!$E$5:$E$2006,"&gt;0")&gt;0,"■","")</f>
        <v/>
      </c>
      <c r="H35" s="14" t="str">
        <f>IF(COUNTIFS('3. 5기 수입지출장부'!$C$5:$C$2006,$C34,'3. 5기 수입지출장부'!$A$5:$A$2006,"&gt;="&amp;DATE(2026,H$5,1),'3. 5기 수입지출장부'!$A$5:$A$2006,"&lt;"&amp;DATE(2026,H$5+1,1),'3. 5기 수입지출장부'!$E$5:$E$2006,"&gt;0")&gt;0,"■","")</f>
        <v/>
      </c>
      <c r="I35" s="14" t="str">
        <f>IF(COUNTIFS('3. 5기 수입지출장부'!$C$5:$C$2006,$C34,'3. 5기 수입지출장부'!$A$5:$A$2006,"&gt;="&amp;DATE(2026,I$5,1),'3. 5기 수입지출장부'!$A$5:$A$2006,"&lt;"&amp;DATE(2026,I$5+1,1),'3. 5기 수입지출장부'!$E$5:$E$2006,"&gt;0")&gt;0,"■","")</f>
        <v/>
      </c>
      <c r="J35" s="14" t="str">
        <f>IF(COUNTIFS('3. 5기 수입지출장부'!$C$5:$C$2006,$C34,'3. 5기 수입지출장부'!$A$5:$A$2006,"&gt;="&amp;DATE(2026,J$5,1),'3. 5기 수입지출장부'!$A$5:$A$2006,"&lt;"&amp;DATE(2026,J$5+1,1),'3. 5기 수입지출장부'!$E$5:$E$2006,"&gt;0")&gt;0,"■","")</f>
        <v/>
      </c>
      <c r="K35" s="14" t="str">
        <f>IF(COUNTIFS('3. 5기 수입지출장부'!$C$5:$C$2006,$C34,'3. 5기 수입지출장부'!$A$5:$A$2006,"&gt;="&amp;DATE(2026,K$5,1),'3. 5기 수입지출장부'!$A$5:$A$2006,"&lt;"&amp;DATE(2026,K$5+1,1),'3. 5기 수입지출장부'!$E$5:$E$2006,"&gt;0")&gt;0,"■","")</f>
        <v/>
      </c>
      <c r="L35" s="14" t="str">
        <f>IF(COUNTIFS('3. 5기 수입지출장부'!$C$5:$C$2006,$C34,'3. 5기 수입지출장부'!$A$5:$A$2006,"&gt;="&amp;DATE(2026,L$5,1),'3. 5기 수입지출장부'!$A$5:$A$2006,"&lt;"&amp;DATE(2026,L$5+1,1),'3. 5기 수입지출장부'!$E$5:$E$2006,"&gt;0")&gt;0,"■","")</f>
        <v/>
      </c>
      <c r="M35" s="9" t="str">
        <f>IF(COUNTIFS('3. 5기 수입지출장부'!$C$5:$C$2006,$C34,'3. 5기 수입지출장부'!$A$5:$A$2006,"&gt;="&amp;DATE(2026,M$5,1),'3. 5기 수입지출장부'!$A$5:$A$2006,"&lt;"&amp;DATE(2026,M$5+1,1),'3. 5기 수입지출장부'!$E$5:$E$2006,"&gt;0")&gt;0,"■","")</f>
        <v/>
      </c>
      <c r="N35" s="9" t="str">
        <f>IF(COUNTIFS('3. 5기 수입지출장부'!$C$5:$C$2006,$C34,'3. 5기 수입지출장부'!$A$5:$A$2006,"&gt;="&amp;DATE(2026,N$5,1),'3. 5기 수입지출장부'!$A$5:$A$2006,"&lt;"&amp;DATE(2026,N$5+1,1),'3. 5기 수입지출장부'!$E$5:$E$2006,"&gt;0")&gt;0,"■","")</f>
        <v/>
      </c>
      <c r="O35" s="14" t="str">
        <f>IF(COUNTIFS('3. 5기 수입지출장부'!$C$5:$C$2006,$C34,'3. 5기 수입지출장부'!$A$5:$A$2006,"&gt;="&amp;DATE(2026,O$5,1),'3. 5기 수입지출장부'!$A$5:$A$2006,"&lt;"&amp;DATE(2026,O$5+1,1),'3. 5기 수입지출장부'!$E$5:$E$2006,"&gt;0")&gt;0,"■","")</f>
        <v/>
      </c>
      <c r="P35" s="14" t="str">
        <f>IF(COUNTIFS('3. 5기 수입지출장부'!$C$5:$C$2006,$C34,'3. 5기 수입지출장부'!$A$5:$A$2006,"&gt;="&amp;DATE(2026,P$5,1),'3. 5기 수입지출장부'!$A$5:$A$2006,"&lt;"&amp;DATE(2026,P$5+1,1),'3. 5기 수입지출장부'!$E$5:$E$2006,"&gt;0")&gt;0,"■","")</f>
        <v/>
      </c>
      <c r="Q35" s="206">
        <f>'3. 5기 수입지출장부'!E210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수입지출장부'!$C$5:$C$2006,$C36,'3. 5기 수입지출장부'!$A$5:$A$2006,"&gt;="&amp;DATE(2026,E$5,1),'3. 5기 수입지출장부'!$A$5:$A$2006,"&lt;"&amp;DATE(2026,E$5+1,1),'3. 5기 수입지출장부'!$E$5:$E$2006,"&gt;0")&gt;0,"■","")</f>
        <v/>
      </c>
      <c r="F37" s="14" t="str">
        <f>IF(COUNTIFS('3. 5기 수입지출장부'!$C$5:$C$2006,$C36,'3. 5기 수입지출장부'!$A$5:$A$2006,"&gt;="&amp;DATE(2026,F$5,1),'3. 5기 수입지출장부'!$A$5:$A$2006,"&lt;"&amp;DATE(2026,F$5+1,1),'3. 5기 수입지출장부'!$E$5:$E$2006,"&gt;0")&gt;0,"■","")</f>
        <v/>
      </c>
      <c r="G37" s="14" t="str">
        <f>IF(COUNTIFS('3. 5기 수입지출장부'!$C$5:$C$2006,$C36,'3. 5기 수입지출장부'!$A$5:$A$2006,"&gt;="&amp;DATE(2026,G$5,1),'3. 5기 수입지출장부'!$A$5:$A$2006,"&lt;"&amp;DATE(2026,G$5+1,1),'3. 5기 수입지출장부'!$E$5:$E$2006,"&gt;0")&gt;0,"■","")</f>
        <v/>
      </c>
      <c r="H37" s="5" t="str">
        <f>IF(COUNTIFS('3. 5기 수입지출장부'!$C$5:$C$2006,$C36,'3. 5기 수입지출장부'!$A$5:$A$2006,"&gt;="&amp;DATE(2026,H$5,1),'3. 5기 수입지출장부'!$A$5:$A$2006,"&lt;"&amp;DATE(2026,H$5+1,1),'3. 5기 수입지출장부'!$E$5:$E$2006,"&gt;0")&gt;0,"■","")</f>
        <v/>
      </c>
      <c r="I37" s="5" t="str">
        <f>IF(COUNTIFS('3. 5기 수입지출장부'!$C$5:$C$2006,$C36,'3. 5기 수입지출장부'!$A$5:$A$2006,"&gt;="&amp;DATE(2026,I$5,1),'3. 5기 수입지출장부'!$A$5:$A$2006,"&lt;"&amp;DATE(2026,I$5+1,1),'3. 5기 수입지출장부'!$E$5:$E$2006,"&gt;0")&gt;0,"■","")</f>
        <v/>
      </c>
      <c r="J37" s="5" t="str">
        <f>IF(COUNTIFS('3. 5기 수입지출장부'!$C$5:$C$2006,$C36,'3. 5기 수입지출장부'!$A$5:$A$2006,"&gt;="&amp;DATE(2026,J$5,1),'3. 5기 수입지출장부'!$A$5:$A$2006,"&lt;"&amp;DATE(2026,J$5+1,1),'3. 5기 수입지출장부'!$E$5:$E$2006,"&gt;0")&gt;0,"■","")</f>
        <v/>
      </c>
      <c r="K37" s="5" t="str">
        <f>IF(COUNTIFS('3. 5기 수입지출장부'!$C$5:$C$2006,$C36,'3. 5기 수입지출장부'!$A$5:$A$2006,"&gt;="&amp;DATE(2026,K$5,1),'3. 5기 수입지출장부'!$A$5:$A$2006,"&lt;"&amp;DATE(2026,K$5+1,1),'3. 5기 수입지출장부'!$E$5:$E$2006,"&gt;0")&gt;0,"■","")</f>
        <v/>
      </c>
      <c r="L37" s="5" t="str">
        <f>IF(COUNTIFS('3. 5기 수입지출장부'!$C$5:$C$2006,$C36,'3. 5기 수입지출장부'!$A$5:$A$2006,"&gt;="&amp;DATE(2026,L$5,1),'3. 5기 수입지출장부'!$A$5:$A$2006,"&lt;"&amp;DATE(2026,L$5+1,1),'3. 5기 수입지출장부'!$E$5:$E$2006,"&gt;0")&gt;0,"■","")</f>
        <v/>
      </c>
      <c r="M37" s="5" t="str">
        <f>IF(COUNTIFS('3. 5기 수입지출장부'!$C$5:$C$2006,$C36,'3. 5기 수입지출장부'!$A$5:$A$2006,"&gt;="&amp;DATE(2026,M$5,1),'3. 5기 수입지출장부'!$A$5:$A$2006,"&lt;"&amp;DATE(2026,M$5+1,1),'3. 5기 수입지출장부'!$E$5:$E$2006,"&gt;0")&gt;0,"■","")</f>
        <v/>
      </c>
      <c r="N37" s="5" t="str">
        <f>IF(COUNTIFS('3. 5기 수입지출장부'!$C$5:$C$2006,$C36,'3. 5기 수입지출장부'!$A$5:$A$2006,"&gt;="&amp;DATE(2026,N$5,1),'3. 5기 수입지출장부'!$A$5:$A$2006,"&lt;"&amp;DATE(2026,N$5+1,1),'3. 5기 수입지출장부'!$E$5:$E$2006,"&gt;0")&gt;0,"■","")</f>
        <v/>
      </c>
      <c r="O37" s="5" t="str">
        <f>IF(COUNTIFS('3. 5기 수입지출장부'!$C$5:$C$2006,$C36,'3. 5기 수입지출장부'!$A$5:$A$2006,"&gt;="&amp;DATE(2026,O$5,1),'3. 5기 수입지출장부'!$A$5:$A$2006,"&lt;"&amp;DATE(2026,O$5+1,1),'3. 5기 수입지출장부'!$E$5:$E$2006,"&gt;0")&gt;0,"■","")</f>
        <v/>
      </c>
      <c r="P37" s="14" t="str">
        <f>IF(COUNTIFS('3. 5기 수입지출장부'!$C$5:$C$2006,$C36,'3. 5기 수입지출장부'!$A$5:$A$2006,"&gt;="&amp;DATE(2026,P$5,1),'3. 5기 수입지출장부'!$A$5:$A$2006,"&lt;"&amp;DATE(2026,P$5+1,1),'3. 5기 수입지출장부'!$E$5:$E$2006,"&gt;0")&gt;0,"■","")</f>
        <v/>
      </c>
      <c r="Q37" s="198">
        <f>'3. 5기 수입지출장부'!E211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수입지출장부'!$C$5:$C$2006,$C38,'3. 5기 수입지출장부'!$A$5:$A$2006,"&gt;="&amp;DATE(2026,E$5,1),'3. 5기 수입지출장부'!$A$5:$A$2006,"&lt;"&amp;DATE(2026,E$5+1,1),'3. 5기 수입지출장부'!$E$5:$E$2006,"&gt;0")&gt;0,"■","")</f>
        <v/>
      </c>
      <c r="F39" s="14" t="str">
        <f>IF(COUNTIFS('3. 5기 수입지출장부'!$C$5:$C$2006,$C38,'3. 5기 수입지출장부'!$A$5:$A$2006,"&gt;="&amp;DATE(2026,F$5,1),'3. 5기 수입지출장부'!$A$5:$A$2006,"&lt;"&amp;DATE(2026,F$5+1,1),'3. 5기 수입지출장부'!$E$5:$E$2006,"&gt;0")&gt;0,"■","")</f>
        <v/>
      </c>
      <c r="G39" s="14" t="str">
        <f>IF(COUNTIFS('3. 5기 수입지출장부'!$C$5:$C$2006,$C38,'3. 5기 수입지출장부'!$A$5:$A$2006,"&gt;="&amp;DATE(2026,G$5,1),'3. 5기 수입지출장부'!$A$5:$A$2006,"&lt;"&amp;DATE(2026,G$5+1,1),'3. 5기 수입지출장부'!$E$5:$E$2006,"&gt;0")&gt;0,"■","")</f>
        <v/>
      </c>
      <c r="H39" s="14" t="str">
        <f>IF(COUNTIFS('3. 5기 수입지출장부'!$C$5:$C$2006,$C38,'3. 5기 수입지출장부'!$A$5:$A$2006,"&gt;="&amp;DATE(2026,H$5,1),'3. 5기 수입지출장부'!$A$5:$A$2006,"&lt;"&amp;DATE(2026,H$5+1,1),'3. 5기 수입지출장부'!$E$5:$E$2006,"&gt;0")&gt;0,"■","")</f>
        <v/>
      </c>
      <c r="I39" s="14" t="str">
        <f>IF(COUNTIFS('3. 5기 수입지출장부'!$C$5:$C$2006,$C38,'3. 5기 수입지출장부'!$A$5:$A$2006,"&gt;="&amp;DATE(2026,I$5,1),'3. 5기 수입지출장부'!$A$5:$A$2006,"&lt;"&amp;DATE(2026,I$5+1,1),'3. 5기 수입지출장부'!$E$5:$E$2006,"&gt;0")&gt;0,"■","")</f>
        <v/>
      </c>
      <c r="J39" s="14" t="str">
        <f>IF(COUNTIFS('3. 5기 수입지출장부'!$C$5:$C$2006,$C38,'3. 5기 수입지출장부'!$A$5:$A$2006,"&gt;="&amp;DATE(2026,J$5,1),'3. 5기 수입지출장부'!$A$5:$A$2006,"&lt;"&amp;DATE(2026,J$5+1,1),'3. 5기 수입지출장부'!$E$5:$E$2006,"&gt;0")&gt;0,"■","")</f>
        <v/>
      </c>
      <c r="K39" s="14" t="str">
        <f>IF(COUNTIFS('3. 5기 수입지출장부'!$C$5:$C$2006,$C38,'3. 5기 수입지출장부'!$A$5:$A$2006,"&gt;="&amp;DATE(2026,K$5,1),'3. 5기 수입지출장부'!$A$5:$A$2006,"&lt;"&amp;DATE(2026,K$5+1,1),'3. 5기 수입지출장부'!$E$5:$E$2006,"&gt;0")&gt;0,"■","")</f>
        <v/>
      </c>
      <c r="L39" s="14" t="str">
        <f>IF(COUNTIFS('3. 5기 수입지출장부'!$C$5:$C$2006,$C38,'3. 5기 수입지출장부'!$A$5:$A$2006,"&gt;="&amp;DATE(2026,L$5,1),'3. 5기 수입지출장부'!$A$5:$A$2006,"&lt;"&amp;DATE(2026,L$5+1,1),'3. 5기 수입지출장부'!$E$5:$E$2006,"&gt;0")&gt;0,"■","")</f>
        <v/>
      </c>
      <c r="M39" s="14" t="str">
        <f>IF(COUNTIFS('3. 5기 수입지출장부'!$C$5:$C$2006,$C38,'3. 5기 수입지출장부'!$A$5:$A$2006,"&gt;="&amp;DATE(2026,M$5,1),'3. 5기 수입지출장부'!$A$5:$A$2006,"&lt;"&amp;DATE(2026,M$5+1,1),'3. 5기 수입지출장부'!$E$5:$E$2006,"&gt;0")&gt;0,"■","")</f>
        <v/>
      </c>
      <c r="N39" s="14" t="str">
        <f>IF(COUNTIFS('3. 5기 수입지출장부'!$C$5:$C$2006,$C38,'3. 5기 수입지출장부'!$A$5:$A$2006,"&gt;="&amp;DATE(2026,N$5,1),'3. 5기 수입지출장부'!$A$5:$A$2006,"&lt;"&amp;DATE(2026,N$5+1,1),'3. 5기 수입지출장부'!$E$5:$E$2006,"&gt;0")&gt;0,"■","")</f>
        <v/>
      </c>
      <c r="O39" s="14" t="str">
        <f>IF(COUNTIFS('3. 5기 수입지출장부'!$C$5:$C$2006,$C38,'3. 5기 수입지출장부'!$A$5:$A$2006,"&gt;="&amp;DATE(2026,O$5,1),'3. 5기 수입지출장부'!$A$5:$A$2006,"&lt;"&amp;DATE(2026,O$5+1,1),'3. 5기 수입지출장부'!$E$5:$E$2006,"&gt;0")&gt;0,"■","")</f>
        <v/>
      </c>
      <c r="P39" s="14" t="str">
        <f>IF(COUNTIFS('3. 5기 수입지출장부'!$C$5:$C$2006,$C38,'3. 5기 수입지출장부'!$A$5:$A$2006,"&gt;="&amp;DATE(2026,P$5,1),'3. 5기 수입지출장부'!$A$5:$A$2006,"&lt;"&amp;DATE(2026,P$5+1,1),'3. 5기 수입지출장부'!$E$5:$E$2006,"&gt;0")&gt;0,"■","")</f>
        <v/>
      </c>
      <c r="Q39" s="198">
        <f>'3. 5기 수입지출장부'!E212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수입지출장부'!$C$5:$C$2006,SUBSTITUTE($C40,", ",","),'3. 5기 수입지출장부'!$A$5:$A$2006,"&gt;="&amp;DATE(2026,E$5,1),'3. 5기 수입지출장부'!$A$5:$A$2006,"&lt;"&amp;DATE(2026,E$5+1,1),'3. 5기 수입지출장부'!$E$5:$E$2006,"&gt;0")&gt;0,"■","")</f>
        <v/>
      </c>
      <c r="F41" s="14" t="str">
        <f>IF(COUNTIFS('3. 5기 수입지출장부'!$C$5:$C$2006,SUBSTITUTE($C40,", ",","),'3. 5기 수입지출장부'!$A$5:$A$2006,"&gt;="&amp;DATE(2026,F$5,1),'3. 5기 수입지출장부'!$A$5:$A$2006,"&lt;"&amp;DATE(2026,F$5+1,1),'3. 5기 수입지출장부'!$E$5:$E$2006,"&gt;0")&gt;0,"■","")</f>
        <v/>
      </c>
      <c r="G41" s="14" t="str">
        <f>IF(COUNTIFS('3. 5기 수입지출장부'!$C$5:$C$2006,SUBSTITUTE($C40,", ",","),'3. 5기 수입지출장부'!$A$5:$A$2006,"&gt;="&amp;DATE(2026,G$5,1),'3. 5기 수입지출장부'!$A$5:$A$2006,"&lt;"&amp;DATE(2026,G$5+1,1),'3. 5기 수입지출장부'!$E$5:$E$2006,"&gt;0")&gt;0,"■","")</f>
        <v/>
      </c>
      <c r="H41" s="14" t="str">
        <f>IF(COUNTIFS('3. 5기 수입지출장부'!$C$5:$C$2006,SUBSTITUTE($C40,", ",","),'3. 5기 수입지출장부'!$A$5:$A$2006,"&gt;="&amp;DATE(2026,H$5,1),'3. 5기 수입지출장부'!$A$5:$A$2006,"&lt;"&amp;DATE(2026,H$5+1,1),'3. 5기 수입지출장부'!$E$5:$E$2006,"&gt;0")&gt;0,"■","")</f>
        <v/>
      </c>
      <c r="I41" s="14" t="str">
        <f>IF(COUNTIFS('3. 5기 수입지출장부'!$C$5:$C$2006,SUBSTITUTE($C40,", ",","),'3. 5기 수입지출장부'!$A$5:$A$2006,"&gt;="&amp;DATE(2026,I$5,1),'3. 5기 수입지출장부'!$A$5:$A$2006,"&lt;"&amp;DATE(2026,I$5+1,1),'3. 5기 수입지출장부'!$E$5:$E$2006,"&gt;0")&gt;0,"■","")</f>
        <v/>
      </c>
      <c r="J41" s="14" t="str">
        <f>IF(COUNTIFS('3. 5기 수입지출장부'!$C$5:$C$2006,SUBSTITUTE($C40,", ",","),'3. 5기 수입지출장부'!$A$5:$A$2006,"&gt;="&amp;DATE(2026,J$5,1),'3. 5기 수입지출장부'!$A$5:$A$2006,"&lt;"&amp;DATE(2026,J$5+1,1),'3. 5기 수입지출장부'!$E$5:$E$2006,"&gt;0")&gt;0,"■","")</f>
        <v/>
      </c>
      <c r="K41" s="14" t="str">
        <f>IF(COUNTIFS('3. 5기 수입지출장부'!$C$5:$C$2006,SUBSTITUTE($C40,", ",","),'3. 5기 수입지출장부'!$A$5:$A$2006,"&gt;="&amp;DATE(2026,K$5,1),'3. 5기 수입지출장부'!$A$5:$A$2006,"&lt;"&amp;DATE(2026,K$5+1,1),'3. 5기 수입지출장부'!$E$5:$E$2006,"&gt;0")&gt;0,"■","")</f>
        <v/>
      </c>
      <c r="L41" s="14" t="str">
        <f>IF(COUNTIFS('3. 5기 수입지출장부'!$C$5:$C$2006,SUBSTITUTE($C40,", ",","),'3. 5기 수입지출장부'!$A$5:$A$2006,"&gt;="&amp;DATE(2026,L$5,1),'3. 5기 수입지출장부'!$A$5:$A$2006,"&lt;"&amp;DATE(2026,L$5+1,1),'3. 5기 수입지출장부'!$E$5:$E$2006,"&gt;0")&gt;0,"■","")</f>
        <v/>
      </c>
      <c r="M41" s="14" t="str">
        <f>IF(COUNTIFS('3. 5기 수입지출장부'!$C$5:$C$2006,SUBSTITUTE($C40,", ",","),'3. 5기 수입지출장부'!$A$5:$A$2006,"&gt;="&amp;DATE(2026,M$5,1),'3. 5기 수입지출장부'!$A$5:$A$2006,"&lt;"&amp;DATE(2026,M$5+1,1),'3. 5기 수입지출장부'!$E$5:$E$2006,"&gt;0")&gt;0,"■","")</f>
        <v/>
      </c>
      <c r="N41" s="14" t="str">
        <f>IF(COUNTIFS('3. 5기 수입지출장부'!$C$5:$C$2006,SUBSTITUTE($C40,", ",","),'3. 5기 수입지출장부'!$A$5:$A$2006,"&gt;="&amp;DATE(2026,N$5,1),'3. 5기 수입지출장부'!$A$5:$A$2006,"&lt;"&amp;DATE(2026,N$5+1,1),'3. 5기 수입지출장부'!$E$5:$E$2006,"&gt;0")&gt;0,"■","")</f>
        <v/>
      </c>
      <c r="O41" s="14" t="str">
        <f>IF(COUNTIFS('3. 5기 수입지출장부'!$C$5:$C$2006,SUBSTITUTE($C40,", ",","),'3. 5기 수입지출장부'!$A$5:$A$2006,"&gt;="&amp;DATE(2026,O$5,1),'3. 5기 수입지출장부'!$A$5:$A$2006,"&lt;"&amp;DATE(2026,O$5+1,1),'3. 5기 수입지출장부'!$E$5:$E$2006,"&gt;0")&gt;0,"■","")</f>
        <v/>
      </c>
      <c r="P41" s="14" t="str">
        <f>IF(COUNTIFS('3. 5기 수입지출장부'!$C$5:$C$2006,SUBSTITUTE($C40,", ",","),'3. 5기 수입지출장부'!$A$5:$A$2006,"&gt;="&amp;DATE(2026,P$5,1),'3. 5기 수입지출장부'!$A$5:$A$2006,"&lt;"&amp;DATE(2026,P$5+1,1),'3. 5기 수입지출장부'!$E$5:$E$2006,"&gt;0")&gt;0,"■","")</f>
        <v/>
      </c>
      <c r="Q41" s="198">
        <f>'3. 5기 수입지출장부'!E213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수입지출장부'!$B$5:$B$2006,$C42,'3. 5기 수입지출장부'!$A$5:$A$2006,"&gt;="&amp;DATE(2026,E$5,1),'3. 5기 수입지출장부'!$A$5:$A$2006,"&lt;"&amp;DATE(2026,E$5+1,1),'3. 5기 수입지출장부'!$E$5:$E$2006,"&gt;0")&gt;0,"■","")</f>
        <v/>
      </c>
      <c r="F43" s="14" t="str">
        <f>IF(COUNTIFS('3. 5기 수입지출장부'!$B$5:$B$2006,$C42,'3. 5기 수입지출장부'!$A$5:$A$2006,"&gt;="&amp;DATE(2026,F$5,1),'3. 5기 수입지출장부'!$A$5:$A$2006,"&lt;"&amp;DATE(2026,F$5+1,1),'3. 5기 수입지출장부'!$E$5:$E$2006,"&gt;0")&gt;0,"■","")</f>
        <v>■</v>
      </c>
      <c r="G43" s="14" t="str">
        <f>IF(COUNTIFS('3. 5기 수입지출장부'!$B$5:$B$2006,$C42,'3. 5기 수입지출장부'!$A$5:$A$2006,"&gt;="&amp;DATE(2026,G$5,1),'3. 5기 수입지출장부'!$A$5:$A$2006,"&lt;"&amp;DATE(2026,G$5+1,1),'3. 5기 수입지출장부'!$E$5:$E$2006,"&gt;0")&gt;0,"■","")</f>
        <v/>
      </c>
      <c r="H43" s="14" t="str">
        <f>IF(COUNTIFS('3. 5기 수입지출장부'!$B$5:$B$2006,$C42,'3. 5기 수입지출장부'!$A$5:$A$2006,"&gt;="&amp;DATE(2026,H$5,1),'3. 5기 수입지출장부'!$A$5:$A$2006,"&lt;"&amp;DATE(2026,H$5+1,1),'3. 5기 수입지출장부'!$E$5:$E$2006,"&gt;0")&gt;0,"■","")</f>
        <v/>
      </c>
      <c r="I43" s="14" t="str">
        <f>IF(COUNTIFS('3. 5기 수입지출장부'!$B$5:$B$2006,$C42,'3. 5기 수입지출장부'!$A$5:$A$2006,"&gt;="&amp;DATE(2026,I$5,1),'3. 5기 수입지출장부'!$A$5:$A$2006,"&lt;"&amp;DATE(2026,I$5+1,1),'3. 5기 수입지출장부'!$E$5:$E$2006,"&gt;0")&gt;0,"■","")</f>
        <v/>
      </c>
      <c r="J43" s="14" t="str">
        <f>IF(COUNTIFS('3. 5기 수입지출장부'!$B$5:$B$2006,$C42,'3. 5기 수입지출장부'!$A$5:$A$2006,"&gt;="&amp;DATE(2026,J$5,1),'3. 5기 수입지출장부'!$A$5:$A$2006,"&lt;"&amp;DATE(2026,J$5+1,1),'3. 5기 수입지출장부'!$E$5:$E$2006,"&gt;0")&gt;0,"■","")</f>
        <v/>
      </c>
      <c r="K43" s="14" t="str">
        <f>IF(COUNTIFS('3. 5기 수입지출장부'!$B$5:$B$2006,$C42,'3. 5기 수입지출장부'!$A$5:$A$2006,"&gt;="&amp;DATE(2026,K$5,1),'3. 5기 수입지출장부'!$A$5:$A$2006,"&lt;"&amp;DATE(2026,K$5+1,1),'3. 5기 수입지출장부'!$E$5:$E$2006,"&gt;0")&gt;0,"■","")</f>
        <v/>
      </c>
      <c r="L43" s="14" t="str">
        <f>IF(COUNTIFS('3. 5기 수입지출장부'!$B$5:$B$2006,$C42,'3. 5기 수입지출장부'!$A$5:$A$2006,"&gt;="&amp;DATE(2026,L$5,1),'3. 5기 수입지출장부'!$A$5:$A$2006,"&lt;"&amp;DATE(2026,L$5+1,1),'3. 5기 수입지출장부'!$E$5:$E$2006,"&gt;0")&gt;0,"■","")</f>
        <v/>
      </c>
      <c r="M43" s="14" t="str">
        <f>IF(COUNTIFS('3. 5기 수입지출장부'!$B$5:$B$2006,$C42,'3. 5기 수입지출장부'!$A$5:$A$2006,"&gt;="&amp;DATE(2026,M$5,1),'3. 5기 수입지출장부'!$A$5:$A$2006,"&lt;"&amp;DATE(2026,M$5+1,1),'3. 5기 수입지출장부'!$E$5:$E$2006,"&gt;0")&gt;0,"■","")</f>
        <v/>
      </c>
      <c r="N43" s="14" t="str">
        <f>IF(COUNTIFS('3. 5기 수입지출장부'!$B$5:$B$2006,$C42,'3. 5기 수입지출장부'!$A$5:$A$2006,"&gt;="&amp;DATE(2026,N$5,1),'3. 5기 수입지출장부'!$A$5:$A$2006,"&lt;"&amp;DATE(2026,N$5+1,1),'3. 5기 수입지출장부'!$E$5:$E$2006,"&gt;0")&gt;0,"■","")</f>
        <v/>
      </c>
      <c r="O43" s="14" t="str">
        <f>IF(COUNTIFS('3. 5기 수입지출장부'!$B$5:$B$2006,$C42,'3. 5기 수입지출장부'!$A$5:$A$2006,"&gt;="&amp;DATE(2026,O$5,1),'3. 5기 수입지출장부'!$A$5:$A$2006,"&lt;"&amp;DATE(2026,O$5+1,1),'3. 5기 수입지출장부'!$E$5:$E$2006,"&gt;0")&gt;0,"■","")</f>
        <v/>
      </c>
      <c r="P43" s="14" t="str">
        <f>IF(COUNTIFS('3. 5기 수입지출장부'!$B$5:$B$2006,$C42,'3. 5기 수입지출장부'!$A$5:$A$2006,"&gt;="&amp;DATE(2026,P$5,1),'3. 5기 수입지출장부'!$A$5:$A$2006,"&lt;"&amp;DATE(2026,P$5+1,1),'3. 5기 수입지출장부'!$E$5:$E$2006,"&gt;0")&gt;0,"■","")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수입지출장부'!$C$5:$C$2006,$C44,'3. 5기 수입지출장부'!$A$5:$A$2006,"&gt;="&amp;DATE(2026,E$5,1),'3. 5기 수입지출장부'!$A$5:$A$2006,"&lt;"&amp;DATE(2026,E$5+1,1),'3. 5기 수입지출장부'!$E$5:$E$2006,"&gt;0")&gt;0,"■","")</f>
        <v/>
      </c>
      <c r="F45" s="9" t="str">
        <f>IF(COUNTIFS('3. 5기 수입지출장부'!$C$5:$C$2006,$C44,'3. 5기 수입지출장부'!$A$5:$A$2006,"&gt;="&amp;DATE(2026,F$5,1),'3. 5기 수입지출장부'!$A$5:$A$2006,"&lt;"&amp;DATE(2026,F$5+1,1),'3. 5기 수입지출장부'!$E$5:$E$2006,"&gt;0")&gt;0,"■","")</f>
        <v/>
      </c>
      <c r="G45" s="9" t="str">
        <f>IF(COUNTIFS('3. 5기 수입지출장부'!$C$5:$C$2006,$C44,'3. 5기 수입지출장부'!$A$5:$A$2006,"&gt;="&amp;DATE(2026,G$5,1),'3. 5기 수입지출장부'!$A$5:$A$2006,"&lt;"&amp;DATE(2026,G$5+1,1),'3. 5기 수입지출장부'!$E$5:$E$2006,"&gt;0")&gt;0,"■","")</f>
        <v/>
      </c>
      <c r="H45" s="9" t="str">
        <f>IF(COUNTIFS('3. 5기 수입지출장부'!$C$5:$C$2006,$C44,'3. 5기 수입지출장부'!$A$5:$A$2006,"&gt;="&amp;DATE(2026,H$5,1),'3. 5기 수입지출장부'!$A$5:$A$2006,"&lt;"&amp;DATE(2026,H$5+1,1),'3. 5기 수입지출장부'!$E$5:$E$2006,"&gt;0")&gt;0,"■","")</f>
        <v/>
      </c>
      <c r="I45" s="9" t="str">
        <f>IF(COUNTIFS('3. 5기 수입지출장부'!$C$5:$C$2006,$C44,'3. 5기 수입지출장부'!$A$5:$A$2006,"&gt;="&amp;DATE(2026,I$5,1),'3. 5기 수입지출장부'!$A$5:$A$2006,"&lt;"&amp;DATE(2026,I$5+1,1),'3. 5기 수입지출장부'!$E$5:$E$2006,"&gt;0")&gt;0,"■","")</f>
        <v/>
      </c>
      <c r="J45" s="9" t="str">
        <f>IF(COUNTIFS('3. 5기 수입지출장부'!$C$5:$C$2006,$C44,'3. 5기 수입지출장부'!$A$5:$A$2006,"&gt;="&amp;DATE(2026,J$5,1),'3. 5기 수입지출장부'!$A$5:$A$2006,"&lt;"&amp;DATE(2026,J$5+1,1),'3. 5기 수입지출장부'!$E$5:$E$2006,"&gt;0")&gt;0,"■","")</f>
        <v/>
      </c>
      <c r="K45" s="9" t="str">
        <f>IF(COUNTIFS('3. 5기 수입지출장부'!$C$5:$C$2006,$C44,'3. 5기 수입지출장부'!$A$5:$A$2006,"&gt;="&amp;DATE(2026,K$5,1),'3. 5기 수입지출장부'!$A$5:$A$2006,"&lt;"&amp;DATE(2026,K$5+1,1),'3. 5기 수입지출장부'!$E$5:$E$2006,"&gt;0")&gt;0,"■","")</f>
        <v/>
      </c>
      <c r="L45" s="9" t="str">
        <f>IF(COUNTIFS('3. 5기 수입지출장부'!$C$5:$C$2006,$C44,'3. 5기 수입지출장부'!$A$5:$A$2006,"&gt;="&amp;DATE(2026,L$5,1),'3. 5기 수입지출장부'!$A$5:$A$2006,"&lt;"&amp;DATE(2026,L$5+1,1),'3. 5기 수입지출장부'!$E$5:$E$2006,"&gt;0")&gt;0,"■","")</f>
        <v/>
      </c>
      <c r="M45" s="9" t="str">
        <f>IF(COUNTIFS('3. 5기 수입지출장부'!$C$5:$C$2006,$C44,'3. 5기 수입지출장부'!$A$5:$A$2006,"&gt;="&amp;DATE(2026,M$5,1),'3. 5기 수입지출장부'!$A$5:$A$2006,"&lt;"&amp;DATE(2026,M$5+1,1),'3. 5기 수입지출장부'!$E$5:$E$2006,"&gt;0")&gt;0,"■","")</f>
        <v/>
      </c>
      <c r="N45" s="9" t="str">
        <f>IF(COUNTIFS('3. 5기 수입지출장부'!$C$5:$C$2006,$C44,'3. 5기 수입지출장부'!$A$5:$A$2006,"&gt;="&amp;DATE(2026,N$5,1),'3. 5기 수입지출장부'!$A$5:$A$2006,"&lt;"&amp;DATE(2026,N$5+1,1),'3. 5기 수입지출장부'!$E$5:$E$2006,"&gt;0")&gt;0,"■","")</f>
        <v/>
      </c>
      <c r="O45" s="9" t="str">
        <f>IF(COUNTIFS('3. 5기 수입지출장부'!$C$5:$C$2006,$C44,'3. 5기 수입지출장부'!$A$5:$A$2006,"&gt;="&amp;DATE(2026,O$5,1),'3. 5기 수입지출장부'!$A$5:$A$2006,"&lt;"&amp;DATE(2026,O$5+1,1),'3. 5기 수입지출장부'!$E$5:$E$2006,"&gt;0")&gt;0,"■","")</f>
        <v/>
      </c>
      <c r="P45" s="9" t="str">
        <f>IF(COUNTIFS('3. 5기 수입지출장부'!$C$5:$C$2006,$C44,'3. 5기 수입지출장부'!$A$5:$A$2006,"&gt;="&amp;DATE(2026,P$5,1),'3. 5기 수입지출장부'!$A$5:$A$2006,"&lt;"&amp;DATE(2026,P$5+1,1),'3. 5기 수입지출장부'!$E$5:$E$2006,"&gt;0")&gt;0,"■","")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수입지출장부'!$C$5:$C$2006,$C46,'3. 5기 수입지출장부'!$A$5:$A$2006,"&gt;="&amp;DATE(2026,E$5,1),'3. 5기 수입지출장부'!$A$5:$A$2006,"&lt;"&amp;DATE(2026,E$5+1,1),'3. 5기 수입지출장부'!$E$5:$E$2006,"&gt;0")&gt;0,"■","")</f>
        <v/>
      </c>
      <c r="F47" s="5" t="str">
        <f>IF(COUNTIFS('3. 5기 수입지출장부'!$C$5:$C$2006,$C46,'3. 5기 수입지출장부'!$A$5:$A$2006,"&gt;="&amp;DATE(2026,F$5,1),'3. 5기 수입지출장부'!$A$5:$A$2006,"&lt;"&amp;DATE(2026,F$5+1,1),'3. 5기 수입지출장부'!$E$5:$E$2006,"&gt;0")&gt;0,"■","")</f>
        <v/>
      </c>
      <c r="G47" s="5" t="str">
        <f>IF(COUNTIFS('3. 5기 수입지출장부'!$C$5:$C$2006,$C46,'3. 5기 수입지출장부'!$A$5:$A$2006,"&gt;="&amp;DATE(2026,G$5,1),'3. 5기 수입지출장부'!$A$5:$A$2006,"&lt;"&amp;DATE(2026,G$5+1,1),'3. 5기 수입지출장부'!$E$5:$E$2006,"&gt;0")&gt;0,"■","")</f>
        <v/>
      </c>
      <c r="H47" s="14" t="str">
        <f>IF(COUNTIFS('3. 5기 수입지출장부'!$C$5:$C$2006,$C46,'3. 5기 수입지출장부'!$A$5:$A$2006,"&gt;="&amp;DATE(2026,H$5,1),'3. 5기 수입지출장부'!$A$5:$A$2006,"&lt;"&amp;DATE(2026,H$5+1,1),'3. 5기 수입지출장부'!$E$5:$E$2006,"&gt;0")&gt;0,"■","")</f>
        <v/>
      </c>
      <c r="I47" s="14" t="str">
        <f>IF(COUNTIFS('3. 5기 수입지출장부'!$C$5:$C$2006,$C46,'3. 5기 수입지출장부'!$A$5:$A$2006,"&gt;="&amp;DATE(2026,I$5,1),'3. 5기 수입지출장부'!$A$5:$A$2006,"&lt;"&amp;DATE(2026,I$5+1,1),'3. 5기 수입지출장부'!$E$5:$E$2006,"&gt;0")&gt;0,"■","")</f>
        <v/>
      </c>
      <c r="J47" s="5" t="str">
        <f>IF(COUNTIFS('3. 5기 수입지출장부'!$C$5:$C$2006,$C46,'3. 5기 수입지출장부'!$A$5:$A$2006,"&gt;="&amp;DATE(2026,J$5,1),'3. 5기 수입지출장부'!$A$5:$A$2006,"&lt;"&amp;DATE(2026,J$5+1,1),'3. 5기 수입지출장부'!$E$5:$E$2006,"&gt;0")&gt;0,"■","")</f>
        <v/>
      </c>
      <c r="K47" s="5" t="str">
        <f>IF(COUNTIFS('3. 5기 수입지출장부'!$C$5:$C$2006,$C46,'3. 5기 수입지출장부'!$A$5:$A$2006,"&gt;="&amp;DATE(2026,K$5,1),'3. 5기 수입지출장부'!$A$5:$A$2006,"&lt;"&amp;DATE(2026,K$5+1,1),'3. 5기 수입지출장부'!$E$5:$E$2006,"&gt;0")&gt;0,"■","")</f>
        <v/>
      </c>
      <c r="L47" s="5" t="str">
        <f>IF(COUNTIFS('3. 5기 수입지출장부'!$C$5:$C$2006,$C46,'3. 5기 수입지출장부'!$A$5:$A$2006,"&gt;="&amp;DATE(2026,L$5,1),'3. 5기 수입지출장부'!$A$5:$A$2006,"&lt;"&amp;DATE(2026,L$5+1,1),'3. 5기 수입지출장부'!$E$5:$E$2006,"&gt;0")&gt;0,"■","")</f>
        <v/>
      </c>
      <c r="M47" s="5" t="str">
        <f>IF(COUNTIFS('3. 5기 수입지출장부'!$C$5:$C$2006,$C46,'3. 5기 수입지출장부'!$A$5:$A$2006,"&gt;="&amp;DATE(2026,M$5,1),'3. 5기 수입지출장부'!$A$5:$A$2006,"&lt;"&amp;DATE(2026,M$5+1,1),'3. 5기 수입지출장부'!$E$5:$E$2006,"&gt;0")&gt;0,"■","")</f>
        <v/>
      </c>
      <c r="N47" s="5" t="str">
        <f>IF(COUNTIFS('3. 5기 수입지출장부'!$C$5:$C$2006,$C46,'3. 5기 수입지출장부'!$A$5:$A$2006,"&gt;="&amp;DATE(2026,N$5,1),'3. 5기 수입지출장부'!$A$5:$A$2006,"&lt;"&amp;DATE(2026,N$5+1,1),'3. 5기 수입지출장부'!$E$5:$E$2006,"&gt;0")&gt;0,"■","")</f>
        <v/>
      </c>
      <c r="O47" s="14" t="str">
        <f>IF(COUNTIFS('3. 5기 수입지출장부'!$C$5:$C$2006,$C46,'3. 5기 수입지출장부'!$A$5:$A$2006,"&gt;="&amp;DATE(2026,O$5,1),'3. 5기 수입지출장부'!$A$5:$A$2006,"&lt;"&amp;DATE(2026,O$5+1,1),'3. 5기 수입지출장부'!$E$5:$E$2006,"&gt;0")&gt;0,"■","")</f>
        <v/>
      </c>
      <c r="P47" s="14" t="str">
        <f>IF(COUNTIFS('3. 5기 수입지출장부'!$C$5:$C$2006,$C46,'3. 5기 수입지출장부'!$A$5:$A$2006,"&gt;="&amp;DATE(2026,P$5,1),'3. 5기 수입지출장부'!$A$5:$A$2006,"&lt;"&amp;DATE(2026,P$5+1,1),'3. 5기 수입지출장부'!$E$5:$E$2006,"&gt;0")&gt;0,"■","")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0.18459193471005478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7955560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4"/>
  <sheetViews>
    <sheetView tabSelected="1" topLeftCell="A142" workbookViewId="0">
      <selection activeCell="A166" sqref="A166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26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26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26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26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26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26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26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4" ht="16.5" customHeight="1">
      <c r="A177" s="85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</row>
    <row r="178" spans="1:14" ht="16.5" customHeight="1">
      <c r="A178" s="85"/>
      <c r="B178" s="79"/>
      <c r="C178" s="80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4" ht="16.5" customHeight="1">
      <c r="D179" s="75"/>
      <c r="E179" s="75"/>
      <c r="F179" s="75"/>
      <c r="G179" s="75"/>
      <c r="L179" s="76"/>
      <c r="N179" s="77"/>
    </row>
    <row r="180" spans="1:14" ht="16.5" customHeight="1">
      <c r="A180" s="178" t="s">
        <v>48</v>
      </c>
      <c r="B180" s="178" t="s">
        <v>219</v>
      </c>
      <c r="C180" s="178" t="s">
        <v>238</v>
      </c>
      <c r="D180" s="178" t="s">
        <v>222</v>
      </c>
      <c r="E180" s="178" t="s">
        <v>55</v>
      </c>
      <c r="F180" s="178" t="s">
        <v>239</v>
      </c>
      <c r="G180" s="178" t="s">
        <v>4</v>
      </c>
      <c r="H180" s="178" t="s">
        <v>19</v>
      </c>
      <c r="J180" s="120" t="s">
        <v>240</v>
      </c>
      <c r="K180" s="120" t="s">
        <v>241</v>
      </c>
      <c r="N180" s="77"/>
    </row>
    <row r="181" spans="1:14" ht="16.5" customHeight="1">
      <c r="A181" s="95" t="s">
        <v>49</v>
      </c>
      <c r="B181" s="95" t="s">
        <v>242</v>
      </c>
      <c r="C181" s="95" t="s">
        <v>243</v>
      </c>
      <c r="D181" s="95" t="s">
        <v>223</v>
      </c>
      <c r="E181" s="95" t="s">
        <v>244</v>
      </c>
      <c r="F181" s="95" t="s">
        <v>245</v>
      </c>
      <c r="G181" s="95" t="s">
        <v>17</v>
      </c>
      <c r="H181" s="95" t="s">
        <v>20</v>
      </c>
      <c r="K181" s="120" t="s">
        <v>246</v>
      </c>
      <c r="N181" s="77"/>
    </row>
    <row r="182" spans="1:14" ht="16.5" customHeight="1">
      <c r="A182" s="95" t="s">
        <v>247</v>
      </c>
      <c r="B182" s="95" t="s">
        <v>220</v>
      </c>
      <c r="C182" s="95" t="s">
        <v>248</v>
      </c>
      <c r="D182" s="95" t="s">
        <v>249</v>
      </c>
      <c r="E182" s="95" t="s">
        <v>56</v>
      </c>
      <c r="F182" s="95" t="s">
        <v>250</v>
      </c>
      <c r="G182" s="95" t="s">
        <v>251</v>
      </c>
      <c r="H182" s="95" t="s">
        <v>49</v>
      </c>
      <c r="N182" s="77"/>
    </row>
    <row r="183" spans="1:14" ht="16.5" customHeight="1">
      <c r="A183" s="95" t="s">
        <v>104</v>
      </c>
      <c r="B183" s="95" t="s">
        <v>252</v>
      </c>
      <c r="E183" s="95" t="s">
        <v>253</v>
      </c>
      <c r="F183" s="95" t="s">
        <v>254</v>
      </c>
      <c r="G183" s="95" t="s">
        <v>15</v>
      </c>
      <c r="H183" s="95" t="s">
        <v>59</v>
      </c>
      <c r="N183" s="77"/>
    </row>
    <row r="184" spans="1:14" ht="16.5" customHeight="1">
      <c r="A184" s="95" t="s">
        <v>255</v>
      </c>
      <c r="E184" s="95" t="s">
        <v>256</v>
      </c>
      <c r="G184" s="95" t="s">
        <v>234</v>
      </c>
      <c r="N184" s="77"/>
    </row>
    <row r="185" spans="1:14" ht="16.5" customHeight="1">
      <c r="A185" s="95" t="s">
        <v>257</v>
      </c>
      <c r="D185" s="76"/>
      <c r="G185" s="95" t="s">
        <v>258</v>
      </c>
      <c r="N185" s="77"/>
    </row>
    <row r="186" spans="1:14" ht="16.5" customHeight="1">
      <c r="A186" s="95" t="s">
        <v>59</v>
      </c>
      <c r="D186" s="76"/>
      <c r="G186" s="95" t="s">
        <v>162</v>
      </c>
      <c r="N186" s="77"/>
    </row>
    <row r="187" spans="1:14" ht="16.5" customHeight="1">
      <c r="A187" s="95" t="s">
        <v>259</v>
      </c>
      <c r="D187" s="76"/>
      <c r="G187" s="95" t="s">
        <v>260</v>
      </c>
      <c r="N187" s="77"/>
    </row>
    <row r="188" spans="1:14" ht="16.5" customHeight="1">
      <c r="A188" s="95" t="s">
        <v>261</v>
      </c>
      <c r="D188" s="76"/>
      <c r="N188" s="77"/>
    </row>
    <row r="189" spans="1:14" ht="16.5" customHeight="1">
      <c r="A189" s="95" t="s">
        <v>262</v>
      </c>
      <c r="D189" s="76"/>
      <c r="N189" s="77"/>
    </row>
    <row r="190" spans="1:14" ht="16.5" customHeight="1">
      <c r="A190" s="95" t="s">
        <v>260</v>
      </c>
      <c r="D190" s="76"/>
      <c r="N190" s="77"/>
    </row>
    <row r="191" spans="1:14" ht="16.5" customHeight="1">
      <c r="A191" s="95" t="s">
        <v>263</v>
      </c>
      <c r="D191" s="76"/>
      <c r="N191" s="77"/>
    </row>
    <row r="192" spans="1:14" ht="16.5" customHeight="1">
      <c r="A192" s="95" t="s">
        <v>19</v>
      </c>
      <c r="D192" s="76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D194" s="75"/>
      <c r="E194" s="96" t="s">
        <v>264</v>
      </c>
      <c r="F194" s="96"/>
      <c r="G194" s="96" t="s">
        <v>7</v>
      </c>
      <c r="L194" s="76"/>
      <c r="N194" s="77"/>
    </row>
    <row r="195" spans="1:14" ht="16.5" customHeight="1">
      <c r="A195" s="68" t="s">
        <v>49</v>
      </c>
      <c r="B195" s="34" t="s">
        <v>49</v>
      </c>
      <c r="C195" s="35" t="s">
        <v>49</v>
      </c>
      <c r="D195" s="59">
        <v>3300000</v>
      </c>
      <c r="E195" s="75">
        <f>SUMIF(Table_1[내용 및 목적],"경조금",Table_1[지출])</f>
        <v>800000</v>
      </c>
      <c r="F195" s="268">
        <f t="shared" ref="F195:F213" si="0">D195-E195</f>
        <v>2500000</v>
      </c>
      <c r="G195" s="180"/>
      <c r="L195" s="76"/>
      <c r="N195" s="77"/>
    </row>
    <row r="196" spans="1:14" ht="16.5" customHeight="1">
      <c r="A196" s="256" t="s">
        <v>265</v>
      </c>
      <c r="B196" s="34" t="s">
        <v>266</v>
      </c>
      <c r="C196" s="35" t="s">
        <v>247</v>
      </c>
      <c r="D196" s="59">
        <f>214200*3*3</f>
        <v>1927800</v>
      </c>
      <c r="E196" s="75">
        <f>SUMIF(Table_1[내용 및 목적],"국내여비",Table_1[지출])</f>
        <v>0</v>
      </c>
      <c r="F196" s="268">
        <f t="shared" si="0"/>
        <v>1927800</v>
      </c>
      <c r="G196" s="180"/>
      <c r="L196" s="76"/>
      <c r="N196" s="77"/>
    </row>
    <row r="197" spans="1:14" ht="16.5" customHeight="1">
      <c r="A197" s="259"/>
      <c r="B197" s="258" t="s">
        <v>267</v>
      </c>
      <c r="C197" s="35" t="s">
        <v>104</v>
      </c>
      <c r="D197" s="59">
        <f>5000*9*12</f>
        <v>540000</v>
      </c>
      <c r="E197" s="75">
        <f>SUMIF(Table_1[내용 및 목적],"운영위원회의비",Table_1[지출])</f>
        <v>166000</v>
      </c>
      <c r="F197" s="268">
        <f t="shared" si="0"/>
        <v>374000</v>
      </c>
      <c r="G197" s="180"/>
      <c r="L197" s="76"/>
      <c r="N197" s="77"/>
    </row>
    <row r="198" spans="1:14" ht="16.5" customHeight="1">
      <c r="A198" s="259"/>
      <c r="B198" s="259"/>
      <c r="C198" s="35" t="s">
        <v>255</v>
      </c>
      <c r="D198" s="59">
        <v>1000000</v>
      </c>
      <c r="E198" s="75">
        <f>SUMIF(Table_1[내용 및 목적],"대의원선거비",Table_1[지출])</f>
        <v>0</v>
      </c>
      <c r="F198" s="268">
        <f t="shared" si="0"/>
        <v>1000000</v>
      </c>
      <c r="G198" s="180"/>
      <c r="L198" s="76"/>
      <c r="N198" s="77"/>
    </row>
    <row r="199" spans="1:14" ht="16.5" customHeight="1">
      <c r="A199" s="259"/>
      <c r="B199" s="259"/>
      <c r="C199" s="35" t="s">
        <v>244</v>
      </c>
      <c r="D199" s="59">
        <f>50000*8</f>
        <v>400000</v>
      </c>
      <c r="E199" s="75">
        <f>SUMIF(Table_1[내용 및 목적],"조직부회의비",Table_1[지출])</f>
        <v>376000</v>
      </c>
      <c r="F199" s="268">
        <f t="shared" si="0"/>
        <v>24000</v>
      </c>
      <c r="G199" s="180"/>
      <c r="L199" s="76"/>
      <c r="N199" s="77"/>
    </row>
    <row r="200" spans="1:14" ht="16.5" customHeight="1">
      <c r="A200" s="259"/>
      <c r="B200" s="259"/>
      <c r="C200" s="35" t="s">
        <v>223</v>
      </c>
      <c r="D200" s="59">
        <f>50000*4</f>
        <v>200000</v>
      </c>
      <c r="E200" s="75">
        <f>SUMIF(Table_1[내용 및 목적],"정책부회의비",Table_1[지출])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59"/>
      <c r="B201" s="259"/>
      <c r="C201" s="35" t="s">
        <v>243</v>
      </c>
      <c r="D201" s="59">
        <v>200000</v>
      </c>
      <c r="E201" s="75">
        <f>SUMIF(Table_1[내용 및 목적],"대협회의비",Table_1[지출])</f>
        <v>0</v>
      </c>
      <c r="F201" s="268">
        <f t="shared" si="0"/>
        <v>200000</v>
      </c>
      <c r="G201" s="180"/>
      <c r="L201" s="76"/>
      <c r="N201" s="77"/>
    </row>
    <row r="202" spans="1:14" ht="16.5" customHeight="1">
      <c r="A202" s="259"/>
      <c r="B202" s="209"/>
      <c r="C202" s="35" t="s">
        <v>220</v>
      </c>
      <c r="D202" s="59">
        <v>200000</v>
      </c>
      <c r="E202" s="75">
        <f>SUMIF(Table_1[내용 및 목적],"교선회의비",Table_1[지출])</f>
        <v>135000</v>
      </c>
      <c r="F202" s="268">
        <f t="shared" si="0"/>
        <v>65000</v>
      </c>
      <c r="G202" s="180"/>
      <c r="L202" s="76"/>
      <c r="N202" s="77"/>
    </row>
    <row r="203" spans="1:14" ht="16.5" customHeight="1">
      <c r="A203" s="209"/>
      <c r="B203" s="34" t="s">
        <v>268</v>
      </c>
      <c r="C203" s="35" t="s">
        <v>257</v>
      </c>
      <c r="D203" s="59">
        <v>0</v>
      </c>
      <c r="E203" s="75">
        <f>SUMIF(Table_1[내용 및 목적],"사무용품비",Table_1[지출])</f>
        <v>0</v>
      </c>
      <c r="F203" s="268">
        <f t="shared" si="0"/>
        <v>0</v>
      </c>
      <c r="G203" s="180"/>
      <c r="L203" s="76"/>
      <c r="N203" s="77"/>
    </row>
    <row r="204" spans="1:14" ht="16.5" customHeight="1">
      <c r="A204" s="256" t="s">
        <v>269</v>
      </c>
      <c r="B204" s="34" t="s">
        <v>270</v>
      </c>
      <c r="C204" s="47" t="s">
        <v>59</v>
      </c>
      <c r="D204" s="59">
        <f>300000*12</f>
        <v>3600000</v>
      </c>
      <c r="E204" s="75">
        <f>SUMIF(Table_1[내용 및 목적],"의장단활동비",Table_1[지출])</f>
        <v>3221060</v>
      </c>
      <c r="F204" s="268">
        <f t="shared" si="0"/>
        <v>378940</v>
      </c>
      <c r="G204" s="180"/>
      <c r="L204" s="76"/>
      <c r="N204" s="77"/>
    </row>
    <row r="205" spans="1:14" ht="16.5" customHeight="1">
      <c r="A205" s="259"/>
      <c r="B205" s="258" t="s">
        <v>271</v>
      </c>
      <c r="C205" s="47" t="s">
        <v>56</v>
      </c>
      <c r="D205" s="59">
        <v>8000000</v>
      </c>
      <c r="E205" s="75">
        <f>SUMIF(Table_1[내용 및 목적],"조직활동비",Table_1[지출])</f>
        <v>3122500</v>
      </c>
      <c r="F205" s="268">
        <f t="shared" si="0"/>
        <v>4877500</v>
      </c>
      <c r="G205" s="180"/>
      <c r="L205" s="76"/>
      <c r="N205" s="77"/>
    </row>
    <row r="206" spans="1:14" ht="16.5" customHeight="1">
      <c r="A206" s="259"/>
      <c r="B206" s="259"/>
      <c r="C206" s="35" t="s">
        <v>259</v>
      </c>
      <c r="D206" s="59">
        <v>300000</v>
      </c>
      <c r="E206" s="75">
        <f>SUMIF(Table_1[내용 및 목적],"조직원포상비",Table_1[지출])</f>
        <v>0</v>
      </c>
      <c r="F206" s="268">
        <f t="shared" si="0"/>
        <v>300000</v>
      </c>
      <c r="G206" s="180"/>
      <c r="L206" s="76"/>
      <c r="N206" s="77"/>
    </row>
    <row r="207" spans="1:14" ht="16.5" customHeight="1">
      <c r="A207" s="259"/>
      <c r="B207" s="259"/>
      <c r="C207" s="35" t="s">
        <v>261</v>
      </c>
      <c r="D207" s="59">
        <f>20000*200</f>
        <v>4000000</v>
      </c>
      <c r="E207" s="75">
        <f>SUMIF(Table_1[내용 및 목적],"선물비",Table_1[지출])</f>
        <v>0</v>
      </c>
      <c r="F207" s="268">
        <f t="shared" si="0"/>
        <v>4000000</v>
      </c>
      <c r="G207" s="180"/>
      <c r="L207" s="76"/>
      <c r="N207" s="77"/>
    </row>
    <row r="208" spans="1:14" ht="16.5" customHeight="1">
      <c r="A208" s="259"/>
      <c r="B208" s="259"/>
      <c r="C208" s="35" t="s">
        <v>253</v>
      </c>
      <c r="D208" s="59">
        <f>50000*46</f>
        <v>2300000</v>
      </c>
      <c r="E208" s="75">
        <f>SUMIF(Table_1[내용 및 목적],"조직원수련회비",Table_1[지출])</f>
        <v>0</v>
      </c>
      <c r="F208" s="268">
        <f t="shared" si="0"/>
        <v>2300000</v>
      </c>
      <c r="G208" s="180"/>
      <c r="L208" s="76"/>
      <c r="N208" s="77"/>
    </row>
    <row r="209" spans="1:14" ht="16.5" customHeight="1">
      <c r="A209" s="259"/>
      <c r="B209" s="209"/>
      <c r="C209" s="35" t="s">
        <v>256</v>
      </c>
      <c r="D209" s="59"/>
      <c r="E209" s="75">
        <f>SUMIF(Table_1[내용 및 목적],"후원회원행사비",Table_1[지출])</f>
        <v>0</v>
      </c>
      <c r="F209" s="268">
        <f t="shared" si="0"/>
        <v>0</v>
      </c>
      <c r="G209" s="180"/>
      <c r="L209" s="76"/>
      <c r="N209" s="77"/>
    </row>
    <row r="210" spans="1:14" ht="16.5" customHeight="1">
      <c r="A210" s="259"/>
      <c r="B210" s="34" t="s">
        <v>272</v>
      </c>
      <c r="C210" s="35" t="s">
        <v>249</v>
      </c>
      <c r="D210" s="59">
        <v>600000</v>
      </c>
      <c r="E210" s="75">
        <f>SUMIF(Table_1[내용 및 목적],"정책활동비",Table_1[지출])</f>
        <v>0</v>
      </c>
      <c r="F210" s="268">
        <f t="shared" si="0"/>
        <v>600000</v>
      </c>
      <c r="G210" s="180"/>
      <c r="L210" s="76"/>
      <c r="N210" s="77"/>
    </row>
    <row r="211" spans="1:14" ht="16.5" customHeight="1">
      <c r="A211" s="259"/>
      <c r="B211" s="34" t="s">
        <v>273</v>
      </c>
      <c r="C211" s="35" t="s">
        <v>248</v>
      </c>
      <c r="D211" s="59">
        <v>300000</v>
      </c>
      <c r="E211" s="75">
        <f>SUMIF(Table_1[내용 및 목적],"대협활동비",Table_1[지출])</f>
        <v>0</v>
      </c>
      <c r="F211" s="268">
        <f t="shared" si="0"/>
        <v>300000</v>
      </c>
      <c r="G211" s="180"/>
      <c r="L211" s="76"/>
      <c r="N211" s="77"/>
    </row>
    <row r="212" spans="1:14" ht="16.5" customHeight="1">
      <c r="A212" s="259"/>
      <c r="B212" s="258" t="s">
        <v>274</v>
      </c>
      <c r="C212" s="35" t="s">
        <v>252</v>
      </c>
      <c r="D212" s="59">
        <v>500000</v>
      </c>
      <c r="E212" s="75">
        <f>SUMIF(Table_1[내용 및 목적],"대자보비",Table_1[지출])</f>
        <v>0</v>
      </c>
      <c r="F212" s="268">
        <f t="shared" si="0"/>
        <v>500000</v>
      </c>
      <c r="G212" s="180"/>
      <c r="L212" s="76"/>
      <c r="N212" s="77"/>
    </row>
    <row r="213" spans="1:14" ht="16.5" customHeight="1">
      <c r="A213" s="209"/>
      <c r="B213" s="209"/>
      <c r="C213" s="35" t="s">
        <v>242</v>
      </c>
      <c r="D213" s="59">
        <f>800000-400000</f>
        <v>400000</v>
      </c>
      <c r="E213" s="75">
        <f>SUMIF(Table_1[내용 및 목적],"유인물,현수막비",Table_1[지출])</f>
        <v>0</v>
      </c>
      <c r="F213" s="268">
        <f t="shared" si="0"/>
        <v>400000</v>
      </c>
      <c r="G213" s="180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</sheetData>
  <mergeCells count="27">
    <mergeCell ref="O52:O54"/>
    <mergeCell ref="F199:G199"/>
    <mergeCell ref="F205:G205"/>
    <mergeCell ref="F206:G206"/>
    <mergeCell ref="A196:A203"/>
    <mergeCell ref="F203:G203"/>
    <mergeCell ref="F212:G212"/>
    <mergeCell ref="F202:G202"/>
    <mergeCell ref="F209:G209"/>
    <mergeCell ref="B197:B202"/>
    <mergeCell ref="F208:G208"/>
    <mergeCell ref="O29:O49"/>
    <mergeCell ref="B205:B209"/>
    <mergeCell ref="A1:N2"/>
    <mergeCell ref="F213:G213"/>
    <mergeCell ref="F198:G198"/>
    <mergeCell ref="B212:B213"/>
    <mergeCell ref="F210:G210"/>
    <mergeCell ref="F200:G200"/>
    <mergeCell ref="F211:G211"/>
    <mergeCell ref="F196:G196"/>
    <mergeCell ref="F195:G195"/>
    <mergeCell ref="F204:G204"/>
    <mergeCell ref="A204:A213"/>
    <mergeCell ref="F207:G207"/>
    <mergeCell ref="F201:G201"/>
    <mergeCell ref="F197:G197"/>
  </mergeCells>
  <phoneticPr fontId="33" type="noConversion"/>
  <dataValidations disablePrompts="1" count="4">
    <dataValidation type="list" allowBlank="1" showErrorMessage="1" sqref="C5:C107 C141 C147 C162 C166:C178" xr:uid="{00000000-0002-0000-0200-000000000000}">
      <formula1>INDIRECT(B5)</formula1>
    </dataValidation>
    <dataValidation type="list" allowBlank="1" showInputMessage="1" showErrorMessage="1" sqref="A180" xr:uid="{00000000-0002-0000-0200-000001000000}">
      <formula1>INDIRECT(A180)</formula1>
    </dataValidation>
    <dataValidation type="list" allowBlank="1" showInputMessage="1" sqref="C108:C140 C142:C146 C148:C161 C163:C165" xr:uid="{00000000-0002-0000-0200-000002000000}">
      <formula1>INDIRECT($B108)</formula1>
    </dataValidation>
    <dataValidation type="list" allowBlank="1" showErrorMessage="1" sqref="B5:B178" xr:uid="{00000000-0002-0000-0200-000003000000}">
      <formula1>$A$180:$H$180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수입지출장부'!$D$5:$D$2006,'3. 5기 수입지출장부'!$C$5:$C$2006,"재정사업")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수입지출장부'!$D$5:$D$2006,'3. 5기 수입지출장부'!$C$5:$C$2006,"이자수입")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수입지출장부'!E195:E213)</f>
        <v>7955560</v>
      </c>
      <c r="E5" s="277"/>
      <c r="F5" s="282">
        <f>LOOKUP(9.99E+307,Table_1[잔액])</f>
        <v>32228791</v>
      </c>
      <c r="G5" s="277"/>
      <c r="I5" s="276">
        <f>D5/B5</f>
        <v>0.18459193471005478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수입지출장부'!D195</f>
        <v>3300000</v>
      </c>
      <c r="E11" s="162">
        <f>'3. 5기 수입지출장부'!E195</f>
        <v>800000</v>
      </c>
      <c r="F11" s="163">
        <f>'3. 5기 수입지출장부'!F195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수입지출장부'!D196</f>
        <v>1927800</v>
      </c>
      <c r="E12" s="168">
        <f>'3. 5기 수입지출장부'!E196</f>
        <v>0</v>
      </c>
      <c r="F12" s="169">
        <f>'3. 5기 수입지출장부'!F196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수입지출장부'!D197</f>
        <v>540000</v>
      </c>
      <c r="E13" s="162">
        <f>'3. 5기 수입지출장부'!E197</f>
        <v>166000</v>
      </c>
      <c r="F13" s="163">
        <f>'3. 5기 수입지출장부'!F197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수입지출장부'!D198</f>
        <v>1000000</v>
      </c>
      <c r="E14" s="168">
        <f>'3. 5기 수입지출장부'!E198</f>
        <v>0</v>
      </c>
      <c r="F14" s="169">
        <f>'3. 5기 수입지출장부'!F198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수입지출장부'!D199</f>
        <v>400000</v>
      </c>
      <c r="E15" s="162">
        <f>'3. 5기 수입지출장부'!E199</f>
        <v>376000</v>
      </c>
      <c r="F15" s="163">
        <f>'3. 5기 수입지출장부'!F199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수입지출장부'!D200</f>
        <v>200000</v>
      </c>
      <c r="E16" s="168">
        <f>'3. 5기 수입지출장부'!E200</f>
        <v>135000</v>
      </c>
      <c r="F16" s="169">
        <f>'3. 5기 수입지출장부'!F200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수입지출장부'!D201</f>
        <v>200000</v>
      </c>
      <c r="E17" s="162">
        <f>'3. 5기 수입지출장부'!E201</f>
        <v>0</v>
      </c>
      <c r="F17" s="163">
        <f>'3. 5기 수입지출장부'!F201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수입지출장부'!D202</f>
        <v>200000</v>
      </c>
      <c r="E18" s="168">
        <f>'3. 5기 수입지출장부'!E202</f>
        <v>135000</v>
      </c>
      <c r="F18" s="169">
        <f>'3. 5기 수입지출장부'!F202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수입지출장부'!D203</f>
        <v>0</v>
      </c>
      <c r="E19" s="162">
        <f>'3. 5기 수입지출장부'!E203</f>
        <v>0</v>
      </c>
      <c r="F19" s="163">
        <f>'3. 5기 수입지출장부'!F203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수입지출장부'!D204</f>
        <v>3600000</v>
      </c>
      <c r="E20" s="168">
        <f>'3. 5기 수입지출장부'!E204</f>
        <v>3221060</v>
      </c>
      <c r="F20" s="169">
        <f>'3. 5기 수입지출장부'!F204</f>
        <v>378940</v>
      </c>
      <c r="G20" s="170">
        <f t="shared" si="0"/>
        <v>0.89473888888888886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수입지출장부'!D205</f>
        <v>8000000</v>
      </c>
      <c r="E21" s="162">
        <f>'3. 5기 수입지출장부'!E205</f>
        <v>3122500</v>
      </c>
      <c r="F21" s="163">
        <f>'3. 5기 수입지출장부'!F205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수입지출장부'!D206</f>
        <v>300000</v>
      </c>
      <c r="E22" s="168">
        <f>'3. 5기 수입지출장부'!E206</f>
        <v>0</v>
      </c>
      <c r="F22" s="169">
        <f>'3. 5기 수입지출장부'!F206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수입지출장부'!D207</f>
        <v>4000000</v>
      </c>
      <c r="E23" s="162">
        <f>'3. 5기 수입지출장부'!E207</f>
        <v>0</v>
      </c>
      <c r="F23" s="163">
        <f>'3. 5기 수입지출장부'!F207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수입지출장부'!D208</f>
        <v>2300000</v>
      </c>
      <c r="E24" s="168">
        <f>'3. 5기 수입지출장부'!E208</f>
        <v>0</v>
      </c>
      <c r="F24" s="169">
        <f>'3. 5기 수입지출장부'!F208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수입지출장부'!D209</f>
        <v>0</v>
      </c>
      <c r="E25" s="162">
        <f>'3. 5기 수입지출장부'!E209</f>
        <v>0</v>
      </c>
      <c r="F25" s="163">
        <f>'3. 5기 수입지출장부'!F209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수입지출장부'!D210</f>
        <v>600000</v>
      </c>
      <c r="E26" s="168">
        <f>'3. 5기 수입지출장부'!E210</f>
        <v>0</v>
      </c>
      <c r="F26" s="169">
        <f>'3. 5기 수입지출장부'!F210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수입지출장부'!D211</f>
        <v>300000</v>
      </c>
      <c r="E27" s="162">
        <f>'3. 5기 수입지출장부'!E211</f>
        <v>0</v>
      </c>
      <c r="F27" s="163">
        <f>'3. 5기 수입지출장부'!F211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수입지출장부'!D212</f>
        <v>500000</v>
      </c>
      <c r="E28" s="168">
        <f>'3. 5기 수입지출장부'!E212</f>
        <v>0</v>
      </c>
      <c r="F28" s="169">
        <f>'3. 5기 수입지출장부'!F212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수입지출장부'!D213</f>
        <v>400000</v>
      </c>
      <c r="E29" s="162">
        <f>'3. 5기 수입지출장부'!E213</f>
        <v>0</v>
      </c>
      <c r="F29" s="163">
        <f>'3. 5기 수입지출장부'!F213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2026-10-01T08:32:14Z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