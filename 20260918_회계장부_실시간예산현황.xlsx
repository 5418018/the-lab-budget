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37C4057C-33FE-451A-9053-5D4138F4918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수입지출장부'!$F$181:$F$184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4" i="3" l="1"/>
  <c r="G165" i="3" s="1"/>
  <c r="G163" i="3"/>
  <c r="G161" i="3"/>
  <c r="G162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3" i="3"/>
  <c r="D213" i="3"/>
  <c r="E212" i="3"/>
  <c r="E211" i="3"/>
  <c r="E210" i="3"/>
  <c r="E209" i="3"/>
  <c r="E208" i="3"/>
  <c r="D208" i="3"/>
  <c r="E207" i="3"/>
  <c r="D207" i="3"/>
  <c r="E206" i="3"/>
  <c r="E205" i="3"/>
  <c r="E204" i="3"/>
  <c r="D204" i="3"/>
  <c r="E203" i="3"/>
  <c r="E202" i="3"/>
  <c r="E201" i="3"/>
  <c r="E200" i="3"/>
  <c r="D200" i="3"/>
  <c r="E199" i="3"/>
  <c r="D199" i="3"/>
  <c r="E198" i="3"/>
  <c r="E197" i="3"/>
  <c r="D197" i="3"/>
  <c r="E196" i="3"/>
  <c r="D196" i="3"/>
  <c r="E195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Y7" i="1" l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3" i="3"/>
  <c r="F29" i="5" s="1"/>
  <c r="D29" i="5"/>
  <c r="E28" i="5"/>
  <c r="G28" i="5" s="1"/>
  <c r="Q39" i="1"/>
  <c r="F212" i="3"/>
  <c r="F28" i="5" s="1"/>
  <c r="Q37" i="1"/>
  <c r="S36" i="1" s="1"/>
  <c r="F211" i="3"/>
  <c r="F27" i="5" s="1"/>
  <c r="E27" i="5"/>
  <c r="G27" i="5" s="1"/>
  <c r="Q35" i="1"/>
  <c r="S34" i="1" s="1"/>
  <c r="F210" i="3"/>
  <c r="F26" i="5" s="1"/>
  <c r="E26" i="5"/>
  <c r="G26" i="5" s="1"/>
  <c r="F209" i="3"/>
  <c r="F25" i="5" s="1"/>
  <c r="E25" i="5"/>
  <c r="G25" i="5" s="1"/>
  <c r="Q33" i="1"/>
  <c r="Q31" i="1"/>
  <c r="S30" i="1" s="1"/>
  <c r="E24" i="5"/>
  <c r="F208" i="3"/>
  <c r="F24" i="5" s="1"/>
  <c r="D24" i="5"/>
  <c r="Q29" i="1"/>
  <c r="S28" i="1" s="1"/>
  <c r="E23" i="5"/>
  <c r="F207" i="3"/>
  <c r="F23" i="5" s="1"/>
  <c r="D23" i="5"/>
  <c r="E22" i="5"/>
  <c r="G22" i="5" s="1"/>
  <c r="F206" i="3"/>
  <c r="F22" i="5" s="1"/>
  <c r="Q27" i="1"/>
  <c r="S26" i="1" s="1"/>
  <c r="Q25" i="1"/>
  <c r="S24" i="1" s="1"/>
  <c r="F205" i="3"/>
  <c r="F21" i="5" s="1"/>
  <c r="E21" i="5"/>
  <c r="G21" i="5" s="1"/>
  <c r="E20" i="5"/>
  <c r="Q23" i="1"/>
  <c r="F204" i="3"/>
  <c r="F20" i="5" s="1"/>
  <c r="D20" i="5"/>
  <c r="F203" i="3"/>
  <c r="F19" i="5" s="1"/>
  <c r="E19" i="5"/>
  <c r="G19" i="5" s="1"/>
  <c r="F202" i="3"/>
  <c r="F18" i="5" s="1"/>
  <c r="Q21" i="1"/>
  <c r="S20" i="1" s="1"/>
  <c r="E18" i="5"/>
  <c r="G18" i="5" s="1"/>
  <c r="Q19" i="1"/>
  <c r="S18" i="1" s="1"/>
  <c r="F201" i="3"/>
  <c r="F17" i="5" s="1"/>
  <c r="E17" i="5"/>
  <c r="G17" i="5" s="1"/>
  <c r="E16" i="5"/>
  <c r="Q17" i="1"/>
  <c r="S16" i="1" s="1"/>
  <c r="D16" i="5"/>
  <c r="F200" i="3"/>
  <c r="F16" i="5" s="1"/>
  <c r="Q15" i="1"/>
  <c r="S14" i="1" s="1"/>
  <c r="E15" i="5"/>
  <c r="D15" i="5"/>
  <c r="F199" i="3"/>
  <c r="F15" i="5" s="1"/>
  <c r="F198" i="3"/>
  <c r="F14" i="5" s="1"/>
  <c r="E14" i="5"/>
  <c r="G14" i="5" s="1"/>
  <c r="Q13" i="1"/>
  <c r="S12" i="1" s="1"/>
  <c r="E13" i="5"/>
  <c r="Q11" i="1"/>
  <c r="S10" i="1" s="1"/>
  <c r="D13" i="5"/>
  <c r="F197" i="3"/>
  <c r="F13" i="5" s="1"/>
  <c r="Q9" i="1"/>
  <c r="E12" i="5"/>
  <c r="D12" i="5"/>
  <c r="F196" i="3"/>
  <c r="F12" i="5" s="1"/>
  <c r="E11" i="5"/>
  <c r="G11" i="5" s="1"/>
  <c r="Q7" i="1"/>
  <c r="F195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<sst xmlns="http://schemas.openxmlformats.org/spreadsheetml/2006/main" count="1342" uniqueCount="415">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</sst>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0" borderId="42" xfId="0" applyBorder="1"/>
    <xf numFmtId="178" fontId="15" fillId="0" borderId="15" xfId="0" applyNumberFormat="1" applyFont="1" applyBorder="1" applyAlignment="1">
      <alignment horizontal="center" vertical="center"/>
    </xf>
    <xf numFmtId="0" fontId="0" fillId="0" borderId="49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9" fillId="6" borderId="15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6" fillId="10" borderId="41" xfId="0" applyFont="1" applyFill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9" fillId="0" borderId="0" xfId="0" applyFont="1" applyBorder="1"/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8">
  <autoFilter ref="A4:N178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80:A192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80:B183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80:C182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80:D182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80:E184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80:F183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80:G187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80:H183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36" t="s">
        <v>276</v>
      </c>
      <c r="C4" s="197" t="s">
        <v>277</v>
      </c>
      <c r="D4" s="197"/>
      <c r="E4" s="179" t="s">
        <v>278</v>
      </c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1"/>
      <c r="Q4" s="193" t="s">
        <v>279</v>
      </c>
      <c r="R4" s="194"/>
      <c r="S4" s="247" t="s">
        <v>280</v>
      </c>
      <c r="T4" s="242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7"/>
      <c r="C5" s="198"/>
      <c r="D5" s="198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95"/>
      <c r="R5" s="196"/>
      <c r="S5" s="248"/>
      <c r="T5" s="24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92">
        <v>1</v>
      </c>
      <c r="C6" s="225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04">
        <f>'2. 5기_예산목간'!D24</f>
        <v>3300000</v>
      </c>
      <c r="R6" s="205"/>
      <c r="S6" s="203">
        <f>Q7/Q6</f>
        <v>0.24242424242424243</v>
      </c>
      <c r="T6" s="207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9"/>
      <c r="C7" s="185"/>
      <c r="D7" s="9" t="s">
        <v>280</v>
      </c>
      <c r="E7" s="9" t="str">
        <f>IF(COUNTIFS('3. 5기 수입지출장부'!$C$5:$C$2006,$C6,'3. 5기 수입지출장부'!$A$5:$A$2006,"&gt;="&amp;DATE(2026,E$5,1),'3. 5기 수입지출장부'!$A$5:$A$2006,"&lt;"&amp;DATE(2026,E$5+1,1),'3. 5기 수입지출장부'!$E$5:$E$2006,"&gt;0")&gt;0,"■","")</f>
        <v/>
      </c>
      <c r="F7" s="9" t="str">
        <f>IF(COUNTIFS('3. 5기 수입지출장부'!$C$5:$C$2006,$C6,'3. 5기 수입지출장부'!$A$5:$A$2006,"&gt;="&amp;DATE(2026,F$5,1),'3. 5기 수입지출장부'!$A$5:$A$2006,"&lt;"&amp;DATE(2026,F$5+1,1),'3. 5기 수입지출장부'!$E$5:$E$2006,"&gt;0")&gt;0,"■","")</f>
        <v/>
      </c>
      <c r="G7" s="9" t="str">
        <f>IF(COUNTIFS('3. 5기 수입지출장부'!$C$5:$C$2006,$C6,'3. 5기 수입지출장부'!$A$5:$A$2006,"&gt;="&amp;DATE(2026,G$5,1),'3. 5기 수입지출장부'!$A$5:$A$2006,"&lt;"&amp;DATE(2026,G$5+1,1),'3. 5기 수입지출장부'!$E$5:$E$2006,"&gt;0")&gt;0,"■","")</f>
        <v>■</v>
      </c>
      <c r="H7" s="9" t="str">
        <f>IF(COUNTIFS('3. 5기 수입지출장부'!$C$5:$C$2006,$C6,'3. 5기 수입지출장부'!$A$5:$A$2006,"&gt;="&amp;DATE(2026,H$5,1),'3. 5기 수입지출장부'!$A$5:$A$2006,"&lt;"&amp;DATE(2026,H$5+1,1),'3. 5기 수입지출장부'!$E$5:$E$2006,"&gt;0")&gt;0,"■","")</f>
        <v/>
      </c>
      <c r="I7" s="9" t="str">
        <f>IF(COUNTIFS('3. 5기 수입지출장부'!$C$5:$C$2006,$C6,'3. 5기 수입지출장부'!$A$5:$A$2006,"&gt;="&amp;DATE(2026,I$5,1),'3. 5기 수입지출장부'!$A$5:$A$2006,"&lt;"&amp;DATE(2026,I$5+1,1),'3. 5기 수입지출장부'!$E$5:$E$2006,"&gt;0")&gt;0,"■","")</f>
        <v/>
      </c>
      <c r="J7" s="9" t="str">
        <f>IF(COUNTIFS('3. 5기 수입지출장부'!$C$5:$C$2006,$C6,'3. 5기 수입지출장부'!$A$5:$A$2006,"&gt;="&amp;DATE(2026,J$5,1),'3. 5기 수입지출장부'!$A$5:$A$2006,"&lt;"&amp;DATE(2026,J$5+1,1),'3. 5기 수입지출장부'!$E$5:$E$2006,"&gt;0")&gt;0,"■","")</f>
        <v>■</v>
      </c>
      <c r="K7" s="9" t="str">
        <f>IF(COUNTIFS('3. 5기 수입지출장부'!$C$5:$C$2006,$C6,'3. 5기 수입지출장부'!$A$5:$A$2006,"&gt;="&amp;DATE(2026,K$5,1),'3. 5기 수입지출장부'!$A$5:$A$2006,"&lt;"&amp;DATE(2026,K$5+1,1),'3. 5기 수입지출장부'!$E$5:$E$2006,"&gt;0")&gt;0,"■","")</f>
        <v>■</v>
      </c>
      <c r="L7" s="9" t="str">
        <f>IF(COUNTIFS('3. 5기 수입지출장부'!$C$5:$C$2006,$C6,'3. 5기 수입지출장부'!$A$5:$A$2006,"&gt;="&amp;DATE(2026,L$5,1),'3. 5기 수입지출장부'!$A$5:$A$2006,"&lt;"&amp;DATE(2026,L$5+1,1),'3. 5기 수입지출장부'!$E$5:$E$2006,"&gt;0")&gt;0,"■","")</f>
        <v/>
      </c>
      <c r="M7" s="9" t="str">
        <f>IF(COUNTIFS('3. 5기 수입지출장부'!$C$5:$C$2006,$C6,'3. 5기 수입지출장부'!$A$5:$A$2006,"&gt;="&amp;DATE(2026,M$5,1),'3. 5기 수입지출장부'!$A$5:$A$2006,"&lt;"&amp;DATE(2026,M$5+1,1),'3. 5기 수입지출장부'!$E$5:$E$2006,"&gt;0")&gt;0,"■","")</f>
        <v/>
      </c>
      <c r="N7" s="9" t="str">
        <f>IF(COUNTIFS('3. 5기 수입지출장부'!$C$5:$C$2006,$C6,'3. 5기 수입지출장부'!$A$5:$A$2006,"&gt;="&amp;DATE(2026,N$5,1),'3. 5기 수입지출장부'!$A$5:$A$2006,"&lt;"&amp;DATE(2026,N$5+1,1),'3. 5기 수입지출장부'!$E$5:$E$2006,"&gt;0")&gt;0,"■","")</f>
        <v/>
      </c>
      <c r="O7" s="9" t="str">
        <f>IF(COUNTIFS('3. 5기 수입지출장부'!$C$5:$C$2006,$C6,'3. 5기 수입지출장부'!$A$5:$A$2006,"&gt;="&amp;DATE(2026,O$5,1),'3. 5기 수입지출장부'!$A$5:$A$2006,"&lt;"&amp;DATE(2026,O$5+1,1),'3. 5기 수입지출장부'!$E$5:$E$2006,"&gt;0")&gt;0,"■","")</f>
        <v/>
      </c>
      <c r="P7" s="9" t="str">
        <f>IF(COUNTIFS('3. 5기 수입지출장부'!$C$5:$C$2006,$C6,'3. 5기 수입지출장부'!$A$5:$A$2006,"&gt;="&amp;DATE(2026,P$5,1),'3. 5기 수입지출장부'!$A$5:$A$2006,"&lt;"&amp;DATE(2026,P$5+1,1),'3. 5기 수입지출장부'!$E$5:$E$2006,"&gt;0")&gt;0,"■","")</f>
        <v/>
      </c>
      <c r="Q7" s="182">
        <f>'3. 5기 수입지출장부'!E195</f>
        <v>800000</v>
      </c>
      <c r="R7" s="183"/>
      <c r="S7" s="191"/>
      <c r="T7" s="191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8">
        <v>2</v>
      </c>
      <c r="C8" s="184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190">
        <f>Q9/Q8</f>
        <v>0</v>
      </c>
      <c r="T8" s="238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9"/>
      <c r="C9" s="185"/>
      <c r="D9" s="14" t="s">
        <v>280</v>
      </c>
      <c r="E9" s="9" t="str">
        <f>IF(COUNTIFS('3. 5기 수입지출장부'!$C$5:$C$2006,$C8,'3. 5기 수입지출장부'!$A$5:$A$2006,"&gt;="&amp;DATE(2026,E$5,1),'3. 5기 수입지출장부'!$A$5:$A$2006,"&lt;"&amp;DATE(2026,E$5+1,1),'3. 5기 수입지출장부'!$E$5:$E$2006,"&gt;0")&gt;0,"■","")</f>
        <v/>
      </c>
      <c r="F9" s="14" t="str">
        <f>IF(COUNTIFS('3. 5기 수입지출장부'!$C$5:$C$2006,$C8,'3. 5기 수입지출장부'!$A$5:$A$2006,"&gt;="&amp;DATE(2026,F$5,1),'3. 5기 수입지출장부'!$A$5:$A$2006,"&lt;"&amp;DATE(2026,F$5+1,1),'3. 5기 수입지출장부'!$E$5:$E$2006,"&gt;0")&gt;0,"■","")</f>
        <v/>
      </c>
      <c r="G9" s="14" t="str">
        <f>IF(COUNTIFS('3. 5기 수입지출장부'!$C$5:$C$2006,$C8,'3. 5기 수입지출장부'!$A$5:$A$2006,"&gt;="&amp;DATE(2026,G$5,1),'3. 5기 수입지출장부'!$A$5:$A$2006,"&lt;"&amp;DATE(2026,G$5+1,1),'3. 5기 수입지출장부'!$E$5:$E$2006,"&gt;0")&gt;0,"■","")</f>
        <v/>
      </c>
      <c r="H9" s="9" t="str">
        <f>IF(COUNTIFS('3. 5기 수입지출장부'!$C$5:$C$2006,$C8,'3. 5기 수입지출장부'!$A$5:$A$2006,"&gt;="&amp;DATE(2026,H$5,1),'3. 5기 수입지출장부'!$A$5:$A$2006,"&lt;"&amp;DATE(2026,H$5+1,1),'3. 5기 수입지출장부'!$E$5:$E$2006,"&gt;0")&gt;0,"■","")</f>
        <v/>
      </c>
      <c r="I9" s="14" t="str">
        <f>IF(COUNTIFS('3. 5기 수입지출장부'!$C$5:$C$2006,$C8,'3. 5기 수입지출장부'!$A$5:$A$2006,"&gt;="&amp;DATE(2026,I$5,1),'3. 5기 수입지출장부'!$A$5:$A$2006,"&lt;"&amp;DATE(2026,I$5+1,1),'3. 5기 수입지출장부'!$E$5:$E$2006,"&gt;0")&gt;0,"■","")</f>
        <v/>
      </c>
      <c r="J9" s="9" t="str">
        <f>IF(COUNTIFS('3. 5기 수입지출장부'!$C$5:$C$2006,$C8,'3. 5기 수입지출장부'!$A$5:$A$2006,"&gt;="&amp;DATE(2026,J$5,1),'3. 5기 수입지출장부'!$A$5:$A$2006,"&lt;"&amp;DATE(2026,J$5+1,1),'3. 5기 수입지출장부'!$E$5:$E$2006,"&gt;0")&gt;0,"■","")</f>
        <v/>
      </c>
      <c r="K9" s="14" t="str">
        <f>IF(COUNTIFS('3. 5기 수입지출장부'!$C$5:$C$2006,$C8,'3. 5기 수입지출장부'!$A$5:$A$2006,"&gt;="&amp;DATE(2026,K$5,1),'3. 5기 수입지출장부'!$A$5:$A$2006,"&lt;"&amp;DATE(2026,K$5+1,1),'3. 5기 수입지출장부'!$E$5:$E$2006,"&gt;0")&gt;0,"■","")</f>
        <v/>
      </c>
      <c r="L9" s="9" t="str">
        <f>IF(COUNTIFS('3. 5기 수입지출장부'!$C$5:$C$2006,$C8,'3. 5기 수입지출장부'!$A$5:$A$2006,"&gt;="&amp;DATE(2026,L$5,1),'3. 5기 수입지출장부'!$A$5:$A$2006,"&lt;"&amp;DATE(2026,L$5+1,1),'3. 5기 수입지출장부'!$E$5:$E$2006,"&gt;0")&gt;0,"■","")</f>
        <v/>
      </c>
      <c r="M9" s="14" t="str">
        <f>IF(COUNTIFS('3. 5기 수입지출장부'!$C$5:$C$2006,$C8,'3. 5기 수입지출장부'!$A$5:$A$2006,"&gt;="&amp;DATE(2026,M$5,1),'3. 5기 수입지출장부'!$A$5:$A$2006,"&lt;"&amp;DATE(2026,M$5+1,1),'3. 5기 수입지출장부'!$E$5:$E$2006,"&gt;0")&gt;0,"■","")</f>
        <v/>
      </c>
      <c r="N9" s="9" t="str">
        <f>IF(COUNTIFS('3. 5기 수입지출장부'!$C$5:$C$2006,$C8,'3. 5기 수입지출장부'!$A$5:$A$2006,"&gt;="&amp;DATE(2026,N$5,1),'3. 5기 수입지출장부'!$A$5:$A$2006,"&lt;"&amp;DATE(2026,N$5+1,1),'3. 5기 수입지출장부'!$E$5:$E$2006,"&gt;0")&gt;0,"■","")</f>
        <v/>
      </c>
      <c r="O9" s="14" t="str">
        <f>IF(COUNTIFS('3. 5기 수입지출장부'!$C$5:$C$2006,$C8,'3. 5기 수입지출장부'!$A$5:$A$2006,"&gt;="&amp;DATE(2026,O$5,1),'3. 5기 수입지출장부'!$A$5:$A$2006,"&lt;"&amp;DATE(2026,O$5+1,1),'3. 5기 수입지출장부'!$E$5:$E$2006,"&gt;0")&gt;0,"■","")</f>
        <v/>
      </c>
      <c r="P9" s="14" t="str">
        <f>IF(COUNTIFS('3. 5기 수입지출장부'!$C$5:$C$2006,$C8,'3. 5기 수입지출장부'!$A$5:$A$2006,"&gt;="&amp;DATE(2026,P$5,1),'3. 5기 수입지출장부'!$A$5:$A$2006,"&lt;"&amp;DATE(2026,P$5+1,1),'3. 5기 수입지출장부'!$E$5:$E$2006,"&gt;0")&gt;0,"■","")</f>
        <v/>
      </c>
      <c r="Q9" s="182">
        <f>'3. 5기 수입지출장부'!E196</f>
        <v>0</v>
      </c>
      <c r="R9" s="183"/>
      <c r="S9" s="191"/>
      <c r="T9" s="191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8">
        <f>B8+1</f>
        <v>3</v>
      </c>
      <c r="C10" s="184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45">
        <f>'2. 5기_예산목간'!D27</f>
        <v>540000</v>
      </c>
      <c r="R10" s="246"/>
      <c r="S10" s="190">
        <f>Q11/Q10</f>
        <v>0.30740740740740741</v>
      </c>
      <c r="T10" s="238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9"/>
      <c r="C11" s="185"/>
      <c r="D11" s="14" t="s">
        <v>280</v>
      </c>
      <c r="E11" s="9" t="str">
        <f>IF(COUNTIFS('3. 5기 수입지출장부'!$C$5:$C$2006,$C10,'3. 5기 수입지출장부'!$A$5:$A$2006,"&gt;="&amp;DATE(2026,E$5,1),'3. 5기 수입지출장부'!$A$5:$A$2006,"&lt;"&amp;DATE(2026,E$5+1,1),'3. 5기 수입지출장부'!$E$5:$E$2006,"&gt;0")&gt;0,"■","")</f>
        <v/>
      </c>
      <c r="F11" s="14" t="str">
        <f>IF(COUNTIFS('3. 5기 수입지출장부'!$C$5:$C$2006,$C10,'3. 5기 수입지출장부'!$A$5:$A$2006,"&gt;="&amp;DATE(2026,F$5,1),'3. 5기 수입지출장부'!$A$5:$A$2006,"&lt;"&amp;DATE(2026,F$5+1,1),'3. 5기 수입지출장부'!$E$5:$E$2006,"&gt;0")&gt;0,"■","")</f>
        <v/>
      </c>
      <c r="G11" s="14" t="str">
        <f>IF(COUNTIFS('3. 5기 수입지출장부'!$C$5:$C$2006,$C10,'3. 5기 수입지출장부'!$A$5:$A$2006,"&gt;="&amp;DATE(2026,G$5,1),'3. 5기 수입지출장부'!$A$5:$A$2006,"&lt;"&amp;DATE(2026,G$5+1,1),'3. 5기 수입지출장부'!$E$5:$E$2006,"&gt;0")&gt;0,"■","")</f>
        <v/>
      </c>
      <c r="H11" s="9" t="str">
        <f>IF(COUNTIFS('3. 5기 수입지출장부'!$C$5:$C$2006,$C10,'3. 5기 수입지출장부'!$A$5:$A$2006,"&gt;="&amp;DATE(2026,H$5,1),'3. 5기 수입지출장부'!$A$5:$A$2006,"&lt;"&amp;DATE(2026,H$5+1,1),'3. 5기 수입지출장부'!$E$5:$E$2006,"&gt;0")&gt;0,"■","")</f>
        <v>■</v>
      </c>
      <c r="I11" s="14" t="str">
        <f>IF(COUNTIFS('3. 5기 수입지출장부'!$C$5:$C$2006,$C10,'3. 5기 수입지출장부'!$A$5:$A$2006,"&gt;="&amp;DATE(2026,I$5,1),'3. 5기 수입지출장부'!$A$5:$A$2006,"&lt;"&amp;DATE(2026,I$5+1,1),'3. 5기 수입지출장부'!$E$5:$E$2006,"&gt;0")&gt;0,"■","")</f>
        <v/>
      </c>
      <c r="J11" s="9" t="str">
        <f>IF(COUNTIFS('3. 5기 수입지출장부'!$C$5:$C$2006,$C10,'3. 5기 수입지출장부'!$A$5:$A$2006,"&gt;="&amp;DATE(2026,J$5,1),'3. 5기 수입지출장부'!$A$5:$A$2006,"&lt;"&amp;DATE(2026,J$5+1,1),'3. 5기 수입지출장부'!$E$5:$E$2006,"&gt;0")&gt;0,"■","")</f>
        <v/>
      </c>
      <c r="K11" s="14" t="str">
        <f>IF(COUNTIFS('3. 5기 수입지출장부'!$C$5:$C$2006,$C10,'3. 5기 수입지출장부'!$A$5:$A$2006,"&gt;="&amp;DATE(2026,K$5,1),'3. 5기 수입지출장부'!$A$5:$A$2006,"&lt;"&amp;DATE(2026,K$5+1,1),'3. 5기 수입지출장부'!$E$5:$E$2006,"&gt;0")&gt;0,"■","")</f>
        <v/>
      </c>
      <c r="L11" s="9" t="str">
        <f>IF(COUNTIFS('3. 5기 수입지출장부'!$C$5:$C$2006,$C10,'3. 5기 수입지출장부'!$A$5:$A$2006,"&gt;="&amp;DATE(2026,L$5,1),'3. 5기 수입지출장부'!$A$5:$A$2006,"&lt;"&amp;DATE(2026,L$5+1,1),'3. 5기 수입지출장부'!$E$5:$E$2006,"&gt;0")&gt;0,"■","")</f>
        <v/>
      </c>
      <c r="M11" s="14" t="str">
        <f>IF(COUNTIFS('3. 5기 수입지출장부'!$C$5:$C$2006,$C10,'3. 5기 수입지출장부'!$A$5:$A$2006,"&gt;="&amp;DATE(2026,M$5,1),'3. 5기 수입지출장부'!$A$5:$A$2006,"&lt;"&amp;DATE(2026,M$5+1,1),'3. 5기 수입지출장부'!$E$5:$E$2006,"&gt;0")&gt;0,"■","")</f>
        <v/>
      </c>
      <c r="N11" s="9" t="str">
        <f>IF(COUNTIFS('3. 5기 수입지출장부'!$C$5:$C$2006,$C10,'3. 5기 수입지출장부'!$A$5:$A$2006,"&gt;="&amp;DATE(2026,N$5,1),'3. 5기 수입지출장부'!$A$5:$A$2006,"&lt;"&amp;DATE(2026,N$5+1,1),'3. 5기 수입지출장부'!$E$5:$E$2006,"&gt;0")&gt;0,"■","")</f>
        <v/>
      </c>
      <c r="O11" s="14" t="str">
        <f>IF(COUNTIFS('3. 5기 수입지출장부'!$C$5:$C$2006,$C10,'3. 5기 수입지출장부'!$A$5:$A$2006,"&gt;="&amp;DATE(2026,O$5,1),'3. 5기 수입지출장부'!$A$5:$A$2006,"&lt;"&amp;DATE(2026,O$5+1,1),'3. 5기 수입지출장부'!$E$5:$E$2006,"&gt;0")&gt;0,"■","")</f>
        <v/>
      </c>
      <c r="P11" s="14" t="str">
        <f>IF(COUNTIFS('3. 5기 수입지출장부'!$C$5:$C$2006,$C10,'3. 5기 수입지출장부'!$A$5:$A$2006,"&gt;="&amp;DATE(2026,P$5,1),'3. 5기 수입지출장부'!$A$5:$A$2006,"&lt;"&amp;DATE(2026,P$5+1,1),'3. 5기 수입지출장부'!$E$5:$E$2006,"&gt;0")&gt;0,"■","")</f>
        <v/>
      </c>
      <c r="Q11" s="223">
        <f>'3. 5기 수입지출장부'!E197</f>
        <v>166000</v>
      </c>
      <c r="R11" s="224"/>
      <c r="S11" s="191"/>
      <c r="T11" s="191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8">
        <v>4</v>
      </c>
      <c r="C12" s="184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19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9"/>
      <c r="C13" s="185"/>
      <c r="D13" s="14" t="s">
        <v>280</v>
      </c>
      <c r="E13" s="9" t="str">
        <f>IF(COUNTIFS('3. 5기 수입지출장부'!$C$5:$C$2006,$C12,'3. 5기 수입지출장부'!$A$5:$A$2006,"&gt;="&amp;DATE(2026,E$5,1),'3. 5기 수입지출장부'!$A$5:$A$2006,"&lt;"&amp;DATE(2026,E$5+1,1),'3. 5기 수입지출장부'!$E$5:$E$2006,"&gt;0")&gt;0,"■","")</f>
        <v/>
      </c>
      <c r="F13" s="14" t="str">
        <f>IF(COUNTIFS('3. 5기 수입지출장부'!$C$5:$C$2006,$C12,'3. 5기 수입지출장부'!$A$5:$A$2006,"&gt;="&amp;DATE(2026,F$5,1),'3. 5기 수입지출장부'!$A$5:$A$2006,"&lt;"&amp;DATE(2026,F$5+1,1),'3. 5기 수입지출장부'!$E$5:$E$2006,"&gt;0")&gt;0,"■","")</f>
        <v/>
      </c>
      <c r="G13" s="14" t="str">
        <f>IF(COUNTIFS('3. 5기 수입지출장부'!$C$5:$C$2006,$C12,'3. 5기 수입지출장부'!$A$5:$A$2006,"&gt;="&amp;DATE(2026,G$5,1),'3. 5기 수입지출장부'!$A$5:$A$2006,"&lt;"&amp;DATE(2026,G$5+1,1),'3. 5기 수입지출장부'!$E$5:$E$2006,"&gt;0")&gt;0,"■","")</f>
        <v/>
      </c>
      <c r="H13" s="9" t="str">
        <f>IF(COUNTIFS('3. 5기 수입지출장부'!$C$5:$C$2006,$C12,'3. 5기 수입지출장부'!$A$5:$A$2006,"&gt;="&amp;DATE(2026,H$5,1),'3. 5기 수입지출장부'!$A$5:$A$2006,"&lt;"&amp;DATE(2026,H$5+1,1),'3. 5기 수입지출장부'!$E$5:$E$2006,"&gt;0")&gt;0,"■","")</f>
        <v/>
      </c>
      <c r="I13" s="14" t="str">
        <f>IF(COUNTIFS('3. 5기 수입지출장부'!$C$5:$C$2006,$C12,'3. 5기 수입지출장부'!$A$5:$A$2006,"&gt;="&amp;DATE(2026,I$5,1),'3. 5기 수입지출장부'!$A$5:$A$2006,"&lt;"&amp;DATE(2026,I$5+1,1),'3. 5기 수입지출장부'!$E$5:$E$2006,"&gt;0")&gt;0,"■","")</f>
        <v/>
      </c>
      <c r="J13" s="9" t="str">
        <f>IF(COUNTIFS('3. 5기 수입지출장부'!$C$5:$C$2006,$C12,'3. 5기 수입지출장부'!$A$5:$A$2006,"&gt;="&amp;DATE(2026,J$5,1),'3. 5기 수입지출장부'!$A$5:$A$2006,"&lt;"&amp;DATE(2026,J$5+1,1),'3. 5기 수입지출장부'!$E$5:$E$2006,"&gt;0")&gt;0,"■","")</f>
        <v/>
      </c>
      <c r="K13" s="14" t="str">
        <f>IF(COUNTIFS('3. 5기 수입지출장부'!$C$5:$C$2006,$C12,'3. 5기 수입지출장부'!$A$5:$A$2006,"&gt;="&amp;DATE(2026,K$5,1),'3. 5기 수입지출장부'!$A$5:$A$2006,"&lt;"&amp;DATE(2026,K$5+1,1),'3. 5기 수입지출장부'!$E$5:$E$2006,"&gt;0")&gt;0,"■","")</f>
        <v/>
      </c>
      <c r="L13" s="9" t="str">
        <f>IF(COUNTIFS('3. 5기 수입지출장부'!$C$5:$C$2006,$C12,'3. 5기 수입지출장부'!$A$5:$A$2006,"&gt;="&amp;DATE(2026,L$5,1),'3. 5기 수입지출장부'!$A$5:$A$2006,"&lt;"&amp;DATE(2026,L$5+1,1),'3. 5기 수입지출장부'!$E$5:$E$2006,"&gt;0")&gt;0,"■","")</f>
        <v/>
      </c>
      <c r="M13" s="14" t="str">
        <f>IF(COUNTIFS('3. 5기 수입지출장부'!$C$5:$C$2006,$C12,'3. 5기 수입지출장부'!$A$5:$A$2006,"&gt;="&amp;DATE(2026,M$5,1),'3. 5기 수입지출장부'!$A$5:$A$2006,"&lt;"&amp;DATE(2026,M$5+1,1),'3. 5기 수입지출장부'!$E$5:$E$2006,"&gt;0")&gt;0,"■","")</f>
        <v/>
      </c>
      <c r="N13" s="9" t="str">
        <f>IF(COUNTIFS('3. 5기 수입지출장부'!$C$5:$C$2006,$C12,'3. 5기 수입지출장부'!$A$5:$A$2006,"&gt;="&amp;DATE(2026,N$5,1),'3. 5기 수입지출장부'!$A$5:$A$2006,"&lt;"&amp;DATE(2026,N$5+1,1),'3. 5기 수입지출장부'!$E$5:$E$2006,"&gt;0")&gt;0,"■","")</f>
        <v/>
      </c>
      <c r="O13" s="14" t="str">
        <f>IF(COUNTIFS('3. 5기 수입지출장부'!$C$5:$C$2006,$C12,'3. 5기 수입지출장부'!$A$5:$A$2006,"&gt;="&amp;DATE(2026,O$5,1),'3. 5기 수입지출장부'!$A$5:$A$2006,"&lt;"&amp;DATE(2026,O$5+1,1),'3. 5기 수입지출장부'!$E$5:$E$2006,"&gt;0")&gt;0,"■","")</f>
        <v/>
      </c>
      <c r="P13" s="14" t="str">
        <f>IF(COUNTIFS('3. 5기 수입지출장부'!$C$5:$C$2006,$C12,'3. 5기 수입지출장부'!$A$5:$A$2006,"&gt;="&amp;DATE(2026,P$5,1),'3. 5기 수입지출장부'!$A$5:$A$2006,"&lt;"&amp;DATE(2026,P$5+1,1),'3. 5기 수입지출장부'!$E$5:$E$2006,"&gt;0")&gt;0,"■","")</f>
        <v/>
      </c>
      <c r="Q13" s="182">
        <f>'3. 5기 수입지출장부'!E198</f>
        <v>0</v>
      </c>
      <c r="R13" s="183"/>
      <c r="S13" s="191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92">
        <v>5</v>
      </c>
      <c r="C14" s="184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8">
        <f>'2. 5기_예산목간'!D29</f>
        <v>400000</v>
      </c>
      <c r="R14" s="219"/>
      <c r="S14" s="209">
        <f>Q15/Q14</f>
        <v>0.94</v>
      </c>
      <c r="T14" s="202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44"/>
      <c r="AL14" s="187"/>
      <c r="AM14" s="187"/>
      <c r="AN14" s="187"/>
      <c r="AO14" s="187"/>
      <c r="AP14" s="187"/>
    </row>
    <row r="15" spans="1:42" ht="24.75" customHeight="1">
      <c r="A15" s="3"/>
      <c r="B15" s="189"/>
      <c r="C15" s="185"/>
      <c r="D15" s="14" t="s">
        <v>280</v>
      </c>
      <c r="E15" s="18" t="str">
        <f>IF(COUNTIFS('3. 5기 수입지출장부'!$C$5:$C$2006,$C14,'3. 5기 수입지출장부'!$A$5:$A$2006,"&gt;="&amp;DATE(2026,E$5,1),'3. 5기 수입지출장부'!$A$5:$A$2006,"&lt;"&amp;DATE(2026,E$5+1,1),'3. 5기 수입지출장부'!$E$5:$E$2006,"&gt;0")&gt;0,"■","")</f>
        <v/>
      </c>
      <c r="F15" s="14" t="str">
        <f>IF(COUNTIFS('3. 5기 수입지출장부'!$C$5:$C$2006,$C14,'3. 5기 수입지출장부'!$A$5:$A$2006,"&gt;="&amp;DATE(2026,F$5,1),'3. 5기 수입지출장부'!$A$5:$A$2006,"&lt;"&amp;DATE(2026,F$5+1,1),'3. 5기 수입지출장부'!$E$5:$E$2006,"&gt;0")&gt;0,"■","")</f>
        <v/>
      </c>
      <c r="G15" s="14" t="str">
        <f>IF(COUNTIFS('3. 5기 수입지출장부'!$C$5:$C$2006,$C14,'3. 5기 수입지출장부'!$A$5:$A$2006,"&gt;="&amp;DATE(2026,G$5,1),'3. 5기 수입지출장부'!$A$5:$A$2006,"&lt;"&amp;DATE(2026,G$5+1,1),'3. 5기 수입지출장부'!$E$5:$E$2006,"&gt;0")&gt;0,"■","")</f>
        <v/>
      </c>
      <c r="H15" s="9" t="str">
        <f>IF(COUNTIFS('3. 5기 수입지출장부'!$C$5:$C$2006,$C14,'3. 5기 수입지출장부'!$A$5:$A$2006,"&gt;="&amp;DATE(2026,H$5,1),'3. 5기 수입지출장부'!$A$5:$A$2006,"&lt;"&amp;DATE(2026,H$5+1,1),'3. 5기 수입지출장부'!$E$5:$E$2006,"&gt;0")&gt;0,"■","")</f>
        <v/>
      </c>
      <c r="I15" s="14" t="str">
        <f>IF(COUNTIFS('3. 5기 수입지출장부'!$C$5:$C$2006,$C14,'3. 5기 수입지출장부'!$A$5:$A$2006,"&gt;="&amp;DATE(2026,I$5,1),'3. 5기 수입지출장부'!$A$5:$A$2006,"&lt;"&amp;DATE(2026,I$5+1,1),'3. 5기 수입지출장부'!$E$5:$E$2006,"&gt;0")&gt;0,"■","")</f>
        <v/>
      </c>
      <c r="J15" s="14" t="str">
        <f>IF(COUNTIFS('3. 5기 수입지출장부'!$C$5:$C$2006,$C14,'3. 5기 수입지출장부'!$A$5:$A$2006,"&gt;="&amp;DATE(2026,J$5,1),'3. 5기 수입지출장부'!$A$5:$A$2006,"&lt;"&amp;DATE(2026,J$5+1,1),'3. 5기 수입지출장부'!$E$5:$E$2006,"&gt;0")&gt;0,"■","")</f>
        <v/>
      </c>
      <c r="K15" s="14" t="str">
        <f>IF(COUNTIFS('3. 5기 수입지출장부'!$C$5:$C$2006,$C14,'3. 5기 수입지출장부'!$A$5:$A$2006,"&gt;="&amp;DATE(2026,K$5,1),'3. 5기 수입지출장부'!$A$5:$A$2006,"&lt;"&amp;DATE(2026,K$5+1,1),'3. 5기 수입지출장부'!$E$5:$E$2006,"&gt;0")&gt;0,"■","")</f>
        <v/>
      </c>
      <c r="L15" s="14" t="str">
        <f>IF(COUNTIFS('3. 5기 수입지출장부'!$C$5:$C$2006,$C14,'3. 5기 수입지출장부'!$A$5:$A$2006,"&gt;="&amp;DATE(2026,L$5,1),'3. 5기 수입지출장부'!$A$5:$A$2006,"&lt;"&amp;DATE(2026,L$5+1,1),'3. 5기 수입지출장부'!$E$5:$E$2006,"&gt;0")&gt;0,"■","")</f>
        <v/>
      </c>
      <c r="M15" s="14" t="str">
        <f>IF(COUNTIFS('3. 5기 수입지출장부'!$C$5:$C$2006,$C14,'3. 5기 수입지출장부'!$A$5:$A$2006,"&gt;="&amp;DATE(2026,M$5,1),'3. 5기 수입지출장부'!$A$5:$A$2006,"&lt;"&amp;DATE(2026,M$5+1,1),'3. 5기 수입지출장부'!$E$5:$E$2006,"&gt;0")&gt;0,"■","")</f>
        <v>■</v>
      </c>
      <c r="N15" s="14" t="str">
        <f>IF(COUNTIFS('3. 5기 수입지출장부'!$C$5:$C$2006,$C14,'3. 5기 수입지출장부'!$A$5:$A$2006,"&gt;="&amp;DATE(2026,N$5,1),'3. 5기 수입지출장부'!$A$5:$A$2006,"&lt;"&amp;DATE(2026,N$5+1,1),'3. 5기 수입지출장부'!$E$5:$E$2006,"&gt;0")&gt;0,"■","")</f>
        <v/>
      </c>
      <c r="O15" s="14" t="str">
        <f>IF(COUNTIFS('3. 5기 수입지출장부'!$C$5:$C$2006,$C14,'3. 5기 수입지출장부'!$A$5:$A$2006,"&gt;="&amp;DATE(2026,O$5,1),'3. 5기 수입지출장부'!$A$5:$A$2006,"&lt;"&amp;DATE(2026,O$5+1,1),'3. 5기 수입지출장부'!$E$5:$E$2006,"&gt;0")&gt;0,"■","")</f>
        <v/>
      </c>
      <c r="P15" s="14" t="str">
        <f>IF(COUNTIFS('3. 5기 수입지출장부'!$C$5:$C$2006,$C14,'3. 5기 수입지출장부'!$A$5:$A$2006,"&gt;="&amp;DATE(2026,P$5,1),'3. 5기 수입지출장부'!$A$5:$A$2006,"&lt;"&amp;DATE(2026,P$5+1,1),'3. 5기 수입지출장부'!$E$5:$E$2006,"&gt;0")&gt;0,"■","")</f>
        <v/>
      </c>
      <c r="Q15" s="199">
        <f>'3. 5기 수입지출장부'!E199</f>
        <v>376000</v>
      </c>
      <c r="R15" s="200"/>
      <c r="S15" s="191"/>
      <c r="T15" s="191"/>
      <c r="U15" s="3"/>
      <c r="V15" s="3"/>
      <c r="W15" s="3"/>
      <c r="X15" s="19"/>
      <c r="Y15" s="208"/>
      <c r="Z15" s="208"/>
      <c r="AA15" s="206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208"/>
      <c r="AN15" s="187"/>
      <c r="AO15" s="208"/>
      <c r="AP15" s="208"/>
    </row>
    <row r="16" spans="1:42" ht="24.75" customHeight="1">
      <c r="A16" s="3"/>
      <c r="B16" s="188">
        <v>6</v>
      </c>
      <c r="C16" s="184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8">
        <f>'2. 5기_예산목간'!D30</f>
        <v>200000</v>
      </c>
      <c r="R16" s="219"/>
      <c r="S16" s="209">
        <f>Q17/Q16</f>
        <v>0.67500000000000004</v>
      </c>
      <c r="T16" s="251" t="s">
        <v>290</v>
      </c>
      <c r="U16" s="3"/>
      <c r="V16" s="3"/>
      <c r="W16" s="3"/>
      <c r="X16" s="19"/>
      <c r="Y16" s="187"/>
      <c r="Z16" s="187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6"/>
      <c r="AN16" s="187"/>
      <c r="AO16" s="187"/>
      <c r="AP16" s="187"/>
    </row>
    <row r="17" spans="1:42" ht="24.75" customHeight="1">
      <c r="A17" s="3"/>
      <c r="B17" s="189"/>
      <c r="C17" s="185"/>
      <c r="D17" s="14" t="s">
        <v>280</v>
      </c>
      <c r="E17" s="14" t="str">
        <f>IF(COUNTIFS('3. 5기 수입지출장부'!$C$5:$C$2006,$C16,'3. 5기 수입지출장부'!$A$5:$A$2006,"&gt;="&amp;DATE(2026,E$5,1),'3. 5기 수입지출장부'!$A$5:$A$2006,"&lt;"&amp;DATE(2026,E$5+1,1),'3. 5기 수입지출장부'!$E$5:$E$2006,"&gt;0")&gt;0,"■","")</f>
        <v/>
      </c>
      <c r="F17" s="14" t="str">
        <f>IF(COUNTIFS('3. 5기 수입지출장부'!$C$5:$C$2006,$C16,'3. 5기 수입지출장부'!$A$5:$A$2006,"&gt;="&amp;DATE(2026,F$5,1),'3. 5기 수입지출장부'!$A$5:$A$2006,"&lt;"&amp;DATE(2026,F$5+1,1),'3. 5기 수입지출장부'!$E$5:$E$2006,"&gt;0")&gt;0,"■","")</f>
        <v/>
      </c>
      <c r="G17" s="14" t="str">
        <f>IF(COUNTIFS('3. 5기 수입지출장부'!$C$5:$C$2006,$C16,'3. 5기 수입지출장부'!$A$5:$A$2006,"&gt;="&amp;DATE(2026,G$5,1),'3. 5기 수입지출장부'!$A$5:$A$2006,"&lt;"&amp;DATE(2026,G$5+1,1),'3. 5기 수입지출장부'!$E$5:$E$2006,"&gt;0")&gt;0,"■","")</f>
        <v/>
      </c>
      <c r="H17" s="9" t="str">
        <f>IF(COUNTIFS('3. 5기 수입지출장부'!$C$5:$C$2006,$C16,'3. 5기 수입지출장부'!$A$5:$A$2006,"&gt;="&amp;DATE(2026,H$5,1),'3. 5기 수입지출장부'!$A$5:$A$2006,"&lt;"&amp;DATE(2026,H$5+1,1),'3. 5기 수입지출장부'!$E$5:$E$2006,"&gt;0")&gt;0,"■","")</f>
        <v/>
      </c>
      <c r="I17" s="14" t="str">
        <f>IF(COUNTIFS('3. 5기 수입지출장부'!$C$5:$C$2006,$C16,'3. 5기 수입지출장부'!$A$5:$A$2006,"&gt;="&amp;DATE(2026,I$5,1),'3. 5기 수입지출장부'!$A$5:$A$2006,"&lt;"&amp;DATE(2026,I$5+1,1),'3. 5기 수입지출장부'!$E$5:$E$2006,"&gt;0")&gt;0,"■","")</f>
        <v/>
      </c>
      <c r="J17" s="14" t="str">
        <f>IF(COUNTIFS('3. 5기 수입지출장부'!$C$5:$C$2006,$C16,'3. 5기 수입지출장부'!$A$5:$A$2006,"&gt;="&amp;DATE(2026,J$5,1),'3. 5기 수입지출장부'!$A$5:$A$2006,"&lt;"&amp;DATE(2026,J$5+1,1),'3. 5기 수입지출장부'!$E$5:$E$2006,"&gt;0")&gt;0,"■","")</f>
        <v/>
      </c>
      <c r="K17" s="14" t="str">
        <f>IF(COUNTIFS('3. 5기 수입지출장부'!$C$5:$C$2006,$C16,'3. 5기 수입지출장부'!$A$5:$A$2006,"&gt;="&amp;DATE(2026,K$5,1),'3. 5기 수입지출장부'!$A$5:$A$2006,"&lt;"&amp;DATE(2026,K$5+1,1),'3. 5기 수입지출장부'!$E$5:$E$2006,"&gt;0")&gt;0,"■","")</f>
        <v/>
      </c>
      <c r="L17" s="14" t="str">
        <f>IF(COUNTIFS('3. 5기 수입지출장부'!$C$5:$C$2006,$C16,'3. 5기 수입지출장부'!$A$5:$A$2006,"&gt;="&amp;DATE(2026,L$5,1),'3. 5기 수입지출장부'!$A$5:$A$2006,"&lt;"&amp;DATE(2026,L$5+1,1),'3. 5기 수입지출장부'!$E$5:$E$2006,"&gt;0")&gt;0,"■","")</f>
        <v>■</v>
      </c>
      <c r="M17" s="14" t="str">
        <f>IF(COUNTIFS('3. 5기 수입지출장부'!$C$5:$C$2006,$C16,'3. 5기 수입지출장부'!$A$5:$A$2006,"&gt;="&amp;DATE(2026,M$5,1),'3. 5기 수입지출장부'!$A$5:$A$2006,"&lt;"&amp;DATE(2026,M$5+1,1),'3. 5기 수입지출장부'!$E$5:$E$2006,"&gt;0")&gt;0,"■","")</f>
        <v/>
      </c>
      <c r="N17" s="14" t="str">
        <f>IF(COUNTIFS('3. 5기 수입지출장부'!$C$5:$C$2006,$C16,'3. 5기 수입지출장부'!$A$5:$A$2006,"&gt;="&amp;DATE(2026,N$5,1),'3. 5기 수입지출장부'!$A$5:$A$2006,"&lt;"&amp;DATE(2026,N$5+1,1),'3. 5기 수입지출장부'!$E$5:$E$2006,"&gt;0")&gt;0,"■","")</f>
        <v/>
      </c>
      <c r="O17" s="14" t="str">
        <f>IF(COUNTIFS('3. 5기 수입지출장부'!$C$5:$C$2006,$C16,'3. 5기 수입지출장부'!$A$5:$A$2006,"&gt;="&amp;DATE(2026,O$5,1),'3. 5기 수입지출장부'!$A$5:$A$2006,"&lt;"&amp;DATE(2026,O$5+1,1),'3. 5기 수입지출장부'!$E$5:$E$2006,"&gt;0")&gt;0,"■","")</f>
        <v/>
      </c>
      <c r="P17" s="14" t="str">
        <f>IF(COUNTIFS('3. 5기 수입지출장부'!$C$5:$C$2006,$C16,'3. 5기 수입지출장부'!$A$5:$A$2006,"&gt;="&amp;DATE(2026,P$5,1),'3. 5기 수입지출장부'!$A$5:$A$2006,"&lt;"&amp;DATE(2026,P$5+1,1),'3. 5기 수입지출장부'!$E$5:$E$2006,"&gt;0")&gt;0,"■","")</f>
        <v/>
      </c>
      <c r="Q17" s="182">
        <f>'3. 5기 수입지출장부'!E200</f>
        <v>135000</v>
      </c>
      <c r="R17" s="183"/>
      <c r="S17" s="191"/>
      <c r="T17" s="213"/>
      <c r="U17" s="3"/>
      <c r="V17" s="3"/>
      <c r="W17" s="3"/>
      <c r="X17" s="206"/>
      <c r="Y17" s="208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201"/>
      <c r="AN17" s="187"/>
      <c r="AO17" s="222"/>
      <c r="AP17" s="208"/>
    </row>
    <row r="18" spans="1:42" ht="24.75" customHeight="1">
      <c r="A18" s="3"/>
      <c r="B18" s="188">
        <v>7</v>
      </c>
      <c r="C18" s="184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8">
        <f>'2. 5기_예산목간'!D31</f>
        <v>200000</v>
      </c>
      <c r="R18" s="219"/>
      <c r="S18" s="190">
        <f>Q19/Q18</f>
        <v>0</v>
      </c>
      <c r="T18" s="202" t="s">
        <v>291</v>
      </c>
      <c r="U18" s="3"/>
      <c r="V18" s="3"/>
      <c r="W18" s="3"/>
      <c r="X18" s="187"/>
      <c r="Y18" s="187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86"/>
      <c r="AN18" s="187"/>
      <c r="AO18" s="187"/>
      <c r="AP18" s="187"/>
    </row>
    <row r="19" spans="1:42" ht="24.75" customHeight="1">
      <c r="A19" s="3"/>
      <c r="B19" s="189"/>
      <c r="C19" s="185"/>
      <c r="D19" s="14" t="s">
        <v>280</v>
      </c>
      <c r="E19" s="14" t="str">
        <f>IF(COUNTIFS('3. 5기 수입지출장부'!$C$5:$C$2006,$C18,'3. 5기 수입지출장부'!$A$5:$A$2006,"&gt;="&amp;DATE(2026,E$5,1),'3. 5기 수입지출장부'!$A$5:$A$2006,"&lt;"&amp;DATE(2026,E$5+1,1),'3. 5기 수입지출장부'!$E$5:$E$2006,"&gt;0")&gt;0,"■","")</f>
        <v/>
      </c>
      <c r="F19" s="5" t="str">
        <f>IF(COUNTIFS('3. 5기 수입지출장부'!$C$5:$C$2006,$C18,'3. 5기 수입지출장부'!$A$5:$A$2006,"&gt;="&amp;DATE(2026,F$5,1),'3. 5기 수입지출장부'!$A$5:$A$2006,"&lt;"&amp;DATE(2026,F$5+1,1),'3. 5기 수입지출장부'!$E$5:$E$2006,"&gt;0")&gt;0,"■","")</f>
        <v/>
      </c>
      <c r="G19" s="14" t="str">
        <f>IF(COUNTIFS('3. 5기 수입지출장부'!$C$5:$C$2006,$C18,'3. 5기 수입지출장부'!$A$5:$A$2006,"&gt;="&amp;DATE(2026,G$5,1),'3. 5기 수입지출장부'!$A$5:$A$2006,"&lt;"&amp;DATE(2026,G$5+1,1),'3. 5기 수입지출장부'!$E$5:$E$2006,"&gt;0")&gt;0,"■","")</f>
        <v/>
      </c>
      <c r="H19" s="9" t="str">
        <f>IF(COUNTIFS('3. 5기 수입지출장부'!$C$5:$C$2006,$C18,'3. 5기 수입지출장부'!$A$5:$A$2006,"&gt;="&amp;DATE(2026,H$5,1),'3. 5기 수입지출장부'!$A$5:$A$2006,"&lt;"&amp;DATE(2026,H$5+1,1),'3. 5기 수입지출장부'!$E$5:$E$2006,"&gt;0")&gt;0,"■","")</f>
        <v/>
      </c>
      <c r="I19" s="9" t="str">
        <f>IF(COUNTIFS('3. 5기 수입지출장부'!$C$5:$C$2006,$C18,'3. 5기 수입지출장부'!$A$5:$A$2006,"&gt;="&amp;DATE(2026,I$5,1),'3. 5기 수입지출장부'!$A$5:$A$2006,"&lt;"&amp;DATE(2026,I$5+1,1),'3. 5기 수입지출장부'!$E$5:$E$2006,"&gt;0")&gt;0,"■","")</f>
        <v/>
      </c>
      <c r="J19" s="14" t="str">
        <f>IF(COUNTIFS('3. 5기 수입지출장부'!$C$5:$C$2006,$C18,'3. 5기 수입지출장부'!$A$5:$A$2006,"&gt;="&amp;DATE(2026,J$5,1),'3. 5기 수입지출장부'!$A$5:$A$2006,"&lt;"&amp;DATE(2026,J$5+1,1),'3. 5기 수입지출장부'!$E$5:$E$2006,"&gt;0")&gt;0,"■","")</f>
        <v/>
      </c>
      <c r="K19" s="14" t="str">
        <f>IF(COUNTIFS('3. 5기 수입지출장부'!$C$5:$C$2006,$C18,'3. 5기 수입지출장부'!$A$5:$A$2006,"&gt;="&amp;DATE(2026,K$5,1),'3. 5기 수입지출장부'!$A$5:$A$2006,"&lt;"&amp;DATE(2026,K$5+1,1),'3. 5기 수입지출장부'!$E$5:$E$2006,"&gt;0")&gt;0,"■","")</f>
        <v/>
      </c>
      <c r="L19" s="14" t="str">
        <f>IF(COUNTIFS('3. 5기 수입지출장부'!$C$5:$C$2006,$C18,'3. 5기 수입지출장부'!$A$5:$A$2006,"&gt;="&amp;DATE(2026,L$5,1),'3. 5기 수입지출장부'!$A$5:$A$2006,"&lt;"&amp;DATE(2026,L$5+1,1),'3. 5기 수입지출장부'!$E$5:$E$2006,"&gt;0")&gt;0,"■","")</f>
        <v/>
      </c>
      <c r="M19" s="14" t="str">
        <f>IF(COUNTIFS('3. 5기 수입지출장부'!$C$5:$C$2006,$C18,'3. 5기 수입지출장부'!$A$5:$A$2006,"&gt;="&amp;DATE(2026,M$5,1),'3. 5기 수입지출장부'!$A$5:$A$2006,"&lt;"&amp;DATE(2026,M$5+1,1),'3. 5기 수입지출장부'!$E$5:$E$2006,"&gt;0")&gt;0,"■","")</f>
        <v/>
      </c>
      <c r="N19" s="14" t="str">
        <f>IF(COUNTIFS('3. 5기 수입지출장부'!$C$5:$C$2006,$C18,'3. 5기 수입지출장부'!$A$5:$A$2006,"&gt;="&amp;DATE(2026,N$5,1),'3. 5기 수입지출장부'!$A$5:$A$2006,"&lt;"&amp;DATE(2026,N$5+1,1),'3. 5기 수입지출장부'!$E$5:$E$2006,"&gt;0")&gt;0,"■","")</f>
        <v/>
      </c>
      <c r="O19" s="14" t="str">
        <f>IF(COUNTIFS('3. 5기 수입지출장부'!$C$5:$C$2006,$C18,'3. 5기 수입지출장부'!$A$5:$A$2006,"&gt;="&amp;DATE(2026,O$5,1),'3. 5기 수입지출장부'!$A$5:$A$2006,"&lt;"&amp;DATE(2026,O$5+1,1),'3. 5기 수입지출장부'!$E$5:$E$2006,"&gt;0")&gt;0,"■","")</f>
        <v/>
      </c>
      <c r="P19" s="14" t="str">
        <f>IF(COUNTIFS('3. 5기 수입지출장부'!$C$5:$C$2006,$C18,'3. 5기 수입지출장부'!$A$5:$A$2006,"&gt;="&amp;DATE(2026,P$5,1),'3. 5기 수입지출장부'!$A$5:$A$2006,"&lt;"&amp;DATE(2026,P$5+1,1),'3. 5기 수입지출장부'!$E$5:$E$2006,"&gt;0")&gt;0,"■","")</f>
        <v/>
      </c>
      <c r="Q19" s="239">
        <f>'3. 5기 수입지출장부'!E201</f>
        <v>0</v>
      </c>
      <c r="R19" s="240"/>
      <c r="S19" s="191"/>
      <c r="T19" s="191"/>
      <c r="U19" s="3"/>
      <c r="V19" s="3"/>
      <c r="W19" s="3"/>
      <c r="X19" s="206"/>
      <c r="Y19" s="208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01"/>
      <c r="AN19" s="187"/>
      <c r="AO19" s="222"/>
      <c r="AP19" s="208"/>
    </row>
    <row r="20" spans="1:42" ht="24.75" customHeight="1">
      <c r="A20" s="3"/>
      <c r="B20" s="188">
        <v>8</v>
      </c>
      <c r="C20" s="184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8">
        <f>'2. 5기_예산목간'!D32</f>
        <v>200000</v>
      </c>
      <c r="R20" s="219"/>
      <c r="S20" s="209">
        <f>Q21/Q20</f>
        <v>0.67500000000000004</v>
      </c>
      <c r="T20" s="202" t="s">
        <v>292</v>
      </c>
      <c r="U20" s="3"/>
      <c r="V20" s="3"/>
      <c r="W20" s="3"/>
      <c r="X20" s="187"/>
      <c r="Y20" s="187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86"/>
      <c r="AN20" s="187"/>
      <c r="AO20" s="187"/>
      <c r="AP20" s="187"/>
    </row>
    <row r="21" spans="1:42" ht="24.75" customHeight="1">
      <c r="A21" s="3"/>
      <c r="B21" s="189"/>
      <c r="C21" s="185"/>
      <c r="D21" s="14" t="s">
        <v>280</v>
      </c>
      <c r="E21" s="14" t="str">
        <f>IF(COUNTIFS('3. 5기 수입지출장부'!$C$5:$C$2006,$C20,'3. 5기 수입지출장부'!$A$5:$A$2006,"&gt;="&amp;DATE(2026,E$5,1),'3. 5기 수입지출장부'!$A$5:$A$2006,"&lt;"&amp;DATE(2026,E$5+1,1),'3. 5기 수입지출장부'!$E$5:$E$2006,"&gt;0")&gt;0,"■","")</f>
        <v/>
      </c>
      <c r="F21" s="14" t="str">
        <f>IF(COUNTIFS('3. 5기 수입지출장부'!$C$5:$C$2006,$C20,'3. 5기 수입지출장부'!$A$5:$A$2006,"&gt;="&amp;DATE(2026,F$5,1),'3. 5기 수입지출장부'!$A$5:$A$2006,"&lt;"&amp;DATE(2026,F$5+1,1),'3. 5기 수입지출장부'!$E$5:$E$2006,"&gt;0")&gt;0,"■","")</f>
        <v/>
      </c>
      <c r="G21" s="14" t="str">
        <f>IF(COUNTIFS('3. 5기 수입지출장부'!$C$5:$C$2006,$C20,'3. 5기 수입지출장부'!$A$5:$A$2006,"&gt;="&amp;DATE(2026,G$5,1),'3. 5기 수입지출장부'!$A$5:$A$2006,"&lt;"&amp;DATE(2026,G$5+1,1),'3. 5기 수입지출장부'!$E$5:$E$2006,"&gt;0")&gt;0,"■","")</f>
        <v/>
      </c>
      <c r="H21" s="9" t="str">
        <f>IF(COUNTIFS('3. 5기 수입지출장부'!$C$5:$C$2006,$C20,'3. 5기 수입지출장부'!$A$5:$A$2006,"&gt;="&amp;DATE(2026,H$5,1),'3. 5기 수입지출장부'!$A$5:$A$2006,"&lt;"&amp;DATE(2026,H$5+1,1),'3. 5기 수입지출장부'!$E$5:$E$2006,"&gt;0")&gt;0,"■","")</f>
        <v/>
      </c>
      <c r="I21" s="14" t="str">
        <f>IF(COUNTIFS('3. 5기 수입지출장부'!$C$5:$C$2006,$C20,'3. 5기 수입지출장부'!$A$5:$A$2006,"&gt;="&amp;DATE(2026,I$5,1),'3. 5기 수입지출장부'!$A$5:$A$2006,"&lt;"&amp;DATE(2026,I$5+1,1),'3. 5기 수입지출장부'!$E$5:$E$2006,"&gt;0")&gt;0,"■","")</f>
        <v/>
      </c>
      <c r="J21" s="9" t="str">
        <f>IF(COUNTIFS('3. 5기 수입지출장부'!$C$5:$C$2006,$C20,'3. 5기 수입지출장부'!$A$5:$A$2006,"&gt;="&amp;DATE(2026,J$5,1),'3. 5기 수입지출장부'!$A$5:$A$2006,"&lt;"&amp;DATE(2026,J$5+1,1),'3. 5기 수입지출장부'!$E$5:$E$2006,"&gt;0")&gt;0,"■","")</f>
        <v/>
      </c>
      <c r="K21" s="14" t="str">
        <f>IF(COUNTIFS('3. 5기 수입지출장부'!$C$5:$C$2006,$C20,'3. 5기 수입지출장부'!$A$5:$A$2006,"&gt;="&amp;DATE(2026,K$5,1),'3. 5기 수입지출장부'!$A$5:$A$2006,"&lt;"&amp;DATE(2026,K$5+1,1),'3. 5기 수입지출장부'!$E$5:$E$2006,"&gt;0")&gt;0,"■","")</f>
        <v/>
      </c>
      <c r="L21" s="14" t="str">
        <f>IF(COUNTIFS('3. 5기 수입지출장부'!$C$5:$C$2006,$C20,'3. 5기 수입지출장부'!$A$5:$A$2006,"&gt;="&amp;DATE(2026,L$5,1),'3. 5기 수입지출장부'!$A$5:$A$2006,"&lt;"&amp;DATE(2026,L$5+1,1),'3. 5기 수입지출장부'!$E$5:$E$2006,"&gt;0")&gt;0,"■","")</f>
        <v>■</v>
      </c>
      <c r="M21" s="14" t="str">
        <f>IF(COUNTIFS('3. 5기 수입지출장부'!$C$5:$C$2006,$C20,'3. 5기 수입지출장부'!$A$5:$A$2006,"&gt;="&amp;DATE(2026,M$5,1),'3. 5기 수입지출장부'!$A$5:$A$2006,"&lt;"&amp;DATE(2026,M$5+1,1),'3. 5기 수입지출장부'!$E$5:$E$2006,"&gt;0")&gt;0,"■","")</f>
        <v/>
      </c>
      <c r="N21" s="14" t="str">
        <f>IF(COUNTIFS('3. 5기 수입지출장부'!$C$5:$C$2006,$C20,'3. 5기 수입지출장부'!$A$5:$A$2006,"&gt;="&amp;DATE(2026,N$5,1),'3. 5기 수입지출장부'!$A$5:$A$2006,"&lt;"&amp;DATE(2026,N$5+1,1),'3. 5기 수입지출장부'!$E$5:$E$2006,"&gt;0")&gt;0,"■","")</f>
        <v/>
      </c>
      <c r="O21" s="21" t="str">
        <f>IF(COUNTIFS('3. 5기 수입지출장부'!$C$5:$C$2006,$C20,'3. 5기 수입지출장부'!$A$5:$A$2006,"&gt;="&amp;DATE(2026,O$5,1),'3. 5기 수입지출장부'!$A$5:$A$2006,"&lt;"&amp;DATE(2026,O$5+1,1),'3. 5기 수입지출장부'!$E$5:$E$2006,"&gt;0")&gt;0,"■","")</f>
        <v/>
      </c>
      <c r="P21" s="14" t="str">
        <f>IF(COUNTIFS('3. 5기 수입지출장부'!$C$5:$C$2006,$C20,'3. 5기 수입지출장부'!$A$5:$A$2006,"&gt;="&amp;DATE(2026,P$5,1),'3. 5기 수입지출장부'!$A$5:$A$2006,"&lt;"&amp;DATE(2026,P$5+1,1),'3. 5기 수입지출장부'!$E$5:$E$2006,"&gt;0")&gt;0,"■","")</f>
        <v/>
      </c>
      <c r="Q21" s="182">
        <f>'3. 5기 수입지출장부'!E202</f>
        <v>135000</v>
      </c>
      <c r="R21" s="183"/>
      <c r="S21" s="191"/>
      <c r="T21" s="191"/>
      <c r="U21" s="3"/>
      <c r="V21" s="3"/>
      <c r="W21" s="3"/>
      <c r="X21" s="206"/>
      <c r="Y21" s="208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1"/>
      <c r="AN21" s="187"/>
      <c r="AO21" s="222"/>
      <c r="AP21" s="208"/>
    </row>
    <row r="22" spans="1:42" ht="24.75" customHeight="1">
      <c r="A22" s="3"/>
      <c r="B22" s="192">
        <v>9</v>
      </c>
      <c r="C22" s="184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8">
        <f>'2. 5기_예산목간'!D38</f>
        <v>3600000</v>
      </c>
      <c r="R22" s="219"/>
      <c r="S22" s="190">
        <f>Q23/Q22</f>
        <v>0.89473888888888886</v>
      </c>
      <c r="T22" s="202" t="s">
        <v>283</v>
      </c>
      <c r="U22" s="3"/>
      <c r="V22" s="3"/>
      <c r="W22" s="3"/>
      <c r="X22" s="187"/>
      <c r="Y22" s="187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86"/>
      <c r="AN22" s="187"/>
      <c r="AO22" s="187"/>
      <c r="AP22" s="187"/>
    </row>
    <row r="23" spans="1:42" ht="24.75" customHeight="1">
      <c r="A23" s="3"/>
      <c r="B23" s="189"/>
      <c r="C23" s="185"/>
      <c r="D23" s="14" t="s">
        <v>280</v>
      </c>
      <c r="E23" s="9" t="str">
        <f>IF(COUNTIFS('3. 5기 수입지출장부'!$C$5:$C$2006,$C22,'3. 5기 수입지출장부'!$A$5:$A$2006,"&gt;="&amp;DATE(2026,E$5,1),'3. 5기 수입지출장부'!$A$5:$A$2006,"&lt;"&amp;DATE(2026,E$5+1,1),'3. 5기 수입지출장부'!$E$5:$E$2006,"&gt;0")&gt;0,"■","")</f>
        <v/>
      </c>
      <c r="F23" s="9" t="str">
        <f>IF(COUNTIFS('3. 5기 수입지출장부'!$C$5:$C$2006,$C22,'3. 5기 수입지출장부'!$A$5:$A$2006,"&gt;="&amp;DATE(2026,F$5,1),'3. 5기 수입지출장부'!$A$5:$A$2006,"&lt;"&amp;DATE(2026,F$5+1,1),'3. 5기 수입지출장부'!$E$5:$E$2006,"&gt;0")&gt;0,"■","")</f>
        <v/>
      </c>
      <c r="G23" s="9" t="str">
        <f>IF(COUNTIFS('3. 5기 수입지출장부'!$C$5:$C$2006,$C22,'3. 5기 수입지출장부'!$A$5:$A$2006,"&gt;="&amp;DATE(2026,G$5,1),'3. 5기 수입지출장부'!$A$5:$A$2006,"&lt;"&amp;DATE(2026,G$5+1,1),'3. 5기 수입지출장부'!$E$5:$E$2006,"&gt;0")&gt;0,"■","")</f>
        <v>■</v>
      </c>
      <c r="H23" s="9" t="str">
        <f>IF(COUNTIFS('3. 5기 수입지출장부'!$C$5:$C$2006,$C22,'3. 5기 수입지출장부'!$A$5:$A$2006,"&gt;="&amp;DATE(2026,H$5,1),'3. 5기 수입지출장부'!$A$5:$A$2006,"&lt;"&amp;DATE(2026,H$5+1,1),'3. 5기 수입지출장부'!$E$5:$E$2006,"&gt;0")&gt;0,"■","")</f>
        <v>■</v>
      </c>
      <c r="I23" s="9" t="str">
        <f>IF(COUNTIFS('3. 5기 수입지출장부'!$C$5:$C$2006,$C22,'3. 5기 수입지출장부'!$A$5:$A$2006,"&gt;="&amp;DATE(2026,I$5,1),'3. 5기 수입지출장부'!$A$5:$A$2006,"&lt;"&amp;DATE(2026,I$5+1,1),'3. 5기 수입지출장부'!$E$5:$E$2006,"&gt;0")&gt;0,"■","")</f>
        <v>■</v>
      </c>
      <c r="J23" s="9" t="str">
        <f>IF(COUNTIFS('3. 5기 수입지출장부'!$C$5:$C$2006,$C22,'3. 5기 수입지출장부'!$A$5:$A$2006,"&gt;="&amp;DATE(2026,J$5,1),'3. 5기 수입지출장부'!$A$5:$A$2006,"&lt;"&amp;DATE(2026,J$5+1,1),'3. 5기 수입지출장부'!$E$5:$E$2006,"&gt;0")&gt;0,"■","")</f>
        <v>■</v>
      </c>
      <c r="K23" s="9" t="str">
        <f>IF(COUNTIFS('3. 5기 수입지출장부'!$C$5:$C$2006,$C22,'3. 5기 수입지출장부'!$A$5:$A$2006,"&gt;="&amp;DATE(2026,K$5,1),'3. 5기 수입지출장부'!$A$5:$A$2006,"&lt;"&amp;DATE(2026,K$5+1,1),'3. 5기 수입지출장부'!$E$5:$E$2006,"&gt;0")&gt;0,"■","")</f>
        <v>■</v>
      </c>
      <c r="L23" s="9" t="str">
        <f>IF(COUNTIFS('3. 5기 수입지출장부'!$C$5:$C$2006,$C22,'3. 5기 수입지출장부'!$A$5:$A$2006,"&gt;="&amp;DATE(2026,L$5,1),'3. 5기 수입지출장부'!$A$5:$A$2006,"&lt;"&amp;DATE(2026,L$5+1,1),'3. 5기 수입지출장부'!$E$5:$E$2006,"&gt;0")&gt;0,"■","")</f>
        <v>■</v>
      </c>
      <c r="M23" s="9" t="str">
        <f>IF(COUNTIFS('3. 5기 수입지출장부'!$C$5:$C$2006,$C22,'3. 5기 수입지출장부'!$A$5:$A$2006,"&gt;="&amp;DATE(2026,M$5,1),'3. 5기 수입지출장부'!$A$5:$A$2006,"&lt;"&amp;DATE(2026,M$5+1,1),'3. 5기 수입지출장부'!$E$5:$E$2006,"&gt;0")&gt;0,"■","")</f>
        <v>■</v>
      </c>
      <c r="N23" s="9" t="str">
        <f>IF(COUNTIFS('3. 5기 수입지출장부'!$C$5:$C$2006,$C22,'3. 5기 수입지출장부'!$A$5:$A$2006,"&gt;="&amp;DATE(2026,N$5,1),'3. 5기 수입지출장부'!$A$5:$A$2006,"&lt;"&amp;DATE(2026,N$5+1,1),'3. 5기 수입지출장부'!$E$5:$E$2006,"&gt;0")&gt;0,"■","")</f>
        <v>■</v>
      </c>
      <c r="O23" s="9" t="str">
        <f>IF(COUNTIFS('3. 5기 수입지출장부'!$C$5:$C$2006,$C22,'3. 5기 수입지출장부'!$A$5:$A$2006,"&gt;="&amp;DATE(2026,O$5,1),'3. 5기 수입지출장부'!$A$5:$A$2006,"&lt;"&amp;DATE(2026,O$5+1,1),'3. 5기 수입지출장부'!$E$5:$E$2006,"&gt;0")&gt;0,"■","")</f>
        <v/>
      </c>
      <c r="P23" s="9" t="str">
        <f>IF(COUNTIFS('3. 5기 수입지출장부'!$C$5:$C$2006,$C22,'3. 5기 수입지출장부'!$A$5:$A$2006,"&gt;="&amp;DATE(2026,P$5,1),'3. 5기 수입지출장부'!$A$5:$A$2006,"&lt;"&amp;DATE(2026,P$5+1,1),'3. 5기 수입지출장부'!$E$5:$E$2006,"&gt;0")&gt;0,"■","")</f>
        <v/>
      </c>
      <c r="Q23" s="182">
        <f>'3. 5기 수입지출장부'!E204</f>
        <v>3221060</v>
      </c>
      <c r="R23" s="183"/>
      <c r="S23" s="191"/>
      <c r="T23" s="191"/>
      <c r="U23" s="3"/>
      <c r="V23" s="3"/>
      <c r="W23" s="3"/>
      <c r="X23" s="206"/>
      <c r="Y23" s="208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201"/>
      <c r="AN23" s="187"/>
      <c r="AO23" s="222"/>
      <c r="AP23" s="208"/>
    </row>
    <row r="24" spans="1:42" ht="24.75" customHeight="1">
      <c r="A24" s="3"/>
      <c r="B24" s="188">
        <v>10</v>
      </c>
      <c r="C24" s="184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8">
        <f>'2. 5기_예산목간'!D39</f>
        <v>8000000</v>
      </c>
      <c r="R24" s="219"/>
      <c r="S24" s="190">
        <f>Q25/Q24</f>
        <v>0.39031250000000001</v>
      </c>
      <c r="T24" s="252" t="s">
        <v>289</v>
      </c>
      <c r="U24" s="3"/>
      <c r="V24" s="3"/>
      <c r="W24" s="3"/>
      <c r="X24" s="187"/>
      <c r="Y24" s="187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86"/>
      <c r="AN24" s="187"/>
      <c r="AO24" s="187"/>
      <c r="AP24" s="187"/>
    </row>
    <row r="25" spans="1:42" ht="24.75" customHeight="1">
      <c r="A25" s="3"/>
      <c r="B25" s="189"/>
      <c r="C25" s="185"/>
      <c r="D25" s="14" t="s">
        <v>280</v>
      </c>
      <c r="E25" s="14" t="str">
        <f>IF(COUNTIFS('3. 5기 수입지출장부'!$C$5:$C$2006,$C24,'3. 5기 수입지출장부'!$A$5:$A$2006,"&gt;="&amp;DATE(2026,E$5,1),'3. 5기 수입지출장부'!$A$5:$A$2006,"&lt;"&amp;DATE(2026,E$5+1,1),'3. 5기 수입지출장부'!$E$5:$E$2006,"&gt;0")&gt;0,"■","")</f>
        <v/>
      </c>
      <c r="F25" s="14" t="str">
        <f>IF(COUNTIFS('3. 5기 수입지출장부'!$C$5:$C$2006,$C24,'3. 5기 수입지출장부'!$A$5:$A$2006,"&gt;="&amp;DATE(2026,F$5,1),'3. 5기 수입지출장부'!$A$5:$A$2006,"&lt;"&amp;DATE(2026,F$5+1,1),'3. 5기 수입지출장부'!$E$5:$E$2006,"&gt;0")&gt;0,"■","")</f>
        <v/>
      </c>
      <c r="G25" s="9" t="str">
        <f>IF(COUNTIFS('3. 5기 수입지출장부'!$C$5:$C$2006,$C24,'3. 5기 수입지출장부'!$A$5:$A$2006,"&gt;="&amp;DATE(2026,G$5,1),'3. 5기 수입지출장부'!$A$5:$A$2006,"&lt;"&amp;DATE(2026,G$5+1,1),'3. 5기 수입지출장부'!$E$5:$E$2006,"&gt;0")&gt;0,"■","")</f>
        <v>■</v>
      </c>
      <c r="H25" s="9" t="str">
        <f>IF(COUNTIFS('3. 5기 수입지출장부'!$C$5:$C$2006,$C24,'3. 5기 수입지출장부'!$A$5:$A$2006,"&gt;="&amp;DATE(2026,H$5,1),'3. 5기 수입지출장부'!$A$5:$A$2006,"&lt;"&amp;DATE(2026,H$5+1,1),'3. 5기 수입지출장부'!$E$5:$E$2006,"&gt;0")&gt;0,"■","")</f>
        <v>■</v>
      </c>
      <c r="I25" s="9" t="str">
        <f>IF(COUNTIFS('3. 5기 수입지출장부'!$C$5:$C$2006,$C24,'3. 5기 수입지출장부'!$A$5:$A$2006,"&gt;="&amp;DATE(2026,I$5,1),'3. 5기 수입지출장부'!$A$5:$A$2006,"&lt;"&amp;DATE(2026,I$5+1,1),'3. 5기 수입지출장부'!$E$5:$E$2006,"&gt;0")&gt;0,"■","")</f>
        <v>■</v>
      </c>
      <c r="J25" s="9" t="str">
        <f>IF(COUNTIFS('3. 5기 수입지출장부'!$C$5:$C$2006,$C24,'3. 5기 수입지출장부'!$A$5:$A$2006,"&gt;="&amp;DATE(2026,J$5,1),'3. 5기 수입지출장부'!$A$5:$A$2006,"&lt;"&amp;DATE(2026,J$5+1,1),'3. 5기 수입지출장부'!$E$5:$E$2006,"&gt;0")&gt;0,"■","")</f>
        <v/>
      </c>
      <c r="K25" s="9" t="str">
        <f>IF(COUNTIFS('3. 5기 수입지출장부'!$C$5:$C$2006,$C24,'3. 5기 수입지출장부'!$A$5:$A$2006,"&gt;="&amp;DATE(2026,K$5,1),'3. 5기 수입지출장부'!$A$5:$A$2006,"&lt;"&amp;DATE(2026,K$5+1,1),'3. 5기 수입지출장부'!$E$5:$E$2006,"&gt;0")&gt;0,"■","")</f>
        <v>■</v>
      </c>
      <c r="L25" s="9" t="str">
        <f>IF(COUNTIFS('3. 5기 수입지출장부'!$C$5:$C$2006,$C24,'3. 5기 수입지출장부'!$A$5:$A$2006,"&gt;="&amp;DATE(2026,L$5,1),'3. 5기 수입지출장부'!$A$5:$A$2006,"&lt;"&amp;DATE(2026,L$5+1,1),'3. 5기 수입지출장부'!$E$5:$E$2006,"&gt;0")&gt;0,"■","")</f>
        <v>■</v>
      </c>
      <c r="M25" s="9" t="str">
        <f>IF(COUNTIFS('3. 5기 수입지출장부'!$C$5:$C$2006,$C24,'3. 5기 수입지출장부'!$A$5:$A$2006,"&gt;="&amp;DATE(2026,M$5,1),'3. 5기 수입지출장부'!$A$5:$A$2006,"&lt;"&amp;DATE(2026,M$5+1,1),'3. 5기 수입지출장부'!$E$5:$E$2006,"&gt;0")&gt;0,"■","")</f>
        <v>■</v>
      </c>
      <c r="N25" s="9" t="str">
        <f>IF(COUNTIFS('3. 5기 수입지출장부'!$C$5:$C$2006,$C24,'3. 5기 수입지출장부'!$A$5:$A$2006,"&gt;="&amp;DATE(2026,N$5,1),'3. 5기 수입지출장부'!$A$5:$A$2006,"&lt;"&amp;DATE(2026,N$5+1,1),'3. 5기 수입지출장부'!$E$5:$E$2006,"&gt;0")&gt;0,"■","")</f>
        <v/>
      </c>
      <c r="O25" s="9" t="str">
        <f>IF(COUNTIFS('3. 5기 수입지출장부'!$C$5:$C$2006,$C24,'3. 5기 수입지출장부'!$A$5:$A$2006,"&gt;="&amp;DATE(2026,O$5,1),'3. 5기 수입지출장부'!$A$5:$A$2006,"&lt;"&amp;DATE(2026,O$5+1,1),'3. 5기 수입지출장부'!$E$5:$E$2006,"&gt;0")&gt;0,"■","")</f>
        <v/>
      </c>
      <c r="P25" s="9" t="str">
        <f>IF(COUNTIFS('3. 5기 수입지출장부'!$C$5:$C$2006,$C24,'3. 5기 수입지출장부'!$A$5:$A$2006,"&gt;="&amp;DATE(2026,P$5,1),'3. 5기 수입지출장부'!$A$5:$A$2006,"&lt;"&amp;DATE(2026,P$5+1,1),'3. 5기 수입지출장부'!$E$5:$E$2006,"&gt;0")&gt;0,"■","")</f>
        <v/>
      </c>
      <c r="Q25" s="182">
        <f>'3. 5기 수입지출장부'!E205</f>
        <v>3122500</v>
      </c>
      <c r="R25" s="183"/>
      <c r="S25" s="191"/>
      <c r="T25" s="253"/>
      <c r="U25" s="3"/>
      <c r="V25" s="3"/>
      <c r="W25" s="13"/>
      <c r="X25" s="206"/>
      <c r="Y25" s="208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1"/>
      <c r="AN25" s="187"/>
      <c r="AO25" s="222"/>
      <c r="AP25" s="208"/>
    </row>
    <row r="26" spans="1:42" ht="24.75" customHeight="1">
      <c r="A26" s="3"/>
      <c r="B26" s="188">
        <f>B24+1</f>
        <v>11</v>
      </c>
      <c r="C26" s="184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8">
        <f>'2. 5기_예산목간'!D40</f>
        <v>300000</v>
      </c>
      <c r="R26" s="219"/>
      <c r="S26" s="190">
        <f>Q27/Q26</f>
        <v>0</v>
      </c>
      <c r="T26" s="202" t="s">
        <v>283</v>
      </c>
      <c r="U26" s="3"/>
      <c r="V26" s="3"/>
      <c r="W26" s="13"/>
      <c r="X26" s="187"/>
      <c r="Y26" s="187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86"/>
      <c r="AN26" s="187"/>
      <c r="AO26" s="187"/>
      <c r="AP26" s="187"/>
    </row>
    <row r="27" spans="1:42" ht="24.75" customHeight="1">
      <c r="A27" s="3"/>
      <c r="B27" s="189"/>
      <c r="C27" s="185"/>
      <c r="D27" s="14" t="s">
        <v>280</v>
      </c>
      <c r="E27" s="14" t="str">
        <f>IF(COUNTIFS('3. 5기 수입지출장부'!$C$5:$C$2006,$C26,'3. 5기 수입지출장부'!$A$5:$A$2006,"&gt;="&amp;DATE(2026,E$5,1),'3. 5기 수입지출장부'!$A$5:$A$2006,"&lt;"&amp;DATE(2026,E$5+1,1),'3. 5기 수입지출장부'!$E$5:$E$2006,"&gt;0")&gt;0,"■","")</f>
        <v/>
      </c>
      <c r="F27" s="14" t="str">
        <f>IF(COUNTIFS('3. 5기 수입지출장부'!$C$5:$C$2006,$C26,'3. 5기 수입지출장부'!$A$5:$A$2006,"&gt;="&amp;DATE(2026,F$5,1),'3. 5기 수입지출장부'!$A$5:$A$2006,"&lt;"&amp;DATE(2026,F$5+1,1),'3. 5기 수입지출장부'!$E$5:$E$2006,"&gt;0")&gt;0,"■","")</f>
        <v/>
      </c>
      <c r="G27" s="14" t="str">
        <f>IF(COUNTIFS('3. 5기 수입지출장부'!$C$5:$C$2006,$C26,'3. 5기 수입지출장부'!$A$5:$A$2006,"&gt;="&amp;DATE(2026,G$5,1),'3. 5기 수입지출장부'!$A$5:$A$2006,"&lt;"&amp;DATE(2026,G$5+1,1),'3. 5기 수입지출장부'!$E$5:$E$2006,"&gt;0")&gt;0,"■","")</f>
        <v/>
      </c>
      <c r="H27" s="14" t="str">
        <f>IF(COUNTIFS('3. 5기 수입지출장부'!$C$5:$C$2006,$C26,'3. 5기 수입지출장부'!$A$5:$A$2006,"&gt;="&amp;DATE(2026,H$5,1),'3. 5기 수입지출장부'!$A$5:$A$2006,"&lt;"&amp;DATE(2026,H$5+1,1),'3. 5기 수입지출장부'!$E$5:$E$2006,"&gt;0")&gt;0,"■","")</f>
        <v/>
      </c>
      <c r="I27" s="14" t="str">
        <f>IF(COUNTIFS('3. 5기 수입지출장부'!$C$5:$C$2006,$C26,'3. 5기 수입지출장부'!$A$5:$A$2006,"&gt;="&amp;DATE(2026,I$5,1),'3. 5기 수입지출장부'!$A$5:$A$2006,"&lt;"&amp;DATE(2026,I$5+1,1),'3. 5기 수입지출장부'!$E$5:$E$2006,"&gt;0")&gt;0,"■","")</f>
        <v/>
      </c>
      <c r="J27" s="14" t="str">
        <f>IF(COUNTIFS('3. 5기 수입지출장부'!$C$5:$C$2006,$C26,'3. 5기 수입지출장부'!$A$5:$A$2006,"&gt;="&amp;DATE(2026,J$5,1),'3. 5기 수입지출장부'!$A$5:$A$2006,"&lt;"&amp;DATE(2026,J$5+1,1),'3. 5기 수입지출장부'!$E$5:$E$2006,"&gt;0")&gt;0,"■","")</f>
        <v/>
      </c>
      <c r="K27" s="14" t="str">
        <f>IF(COUNTIFS('3. 5기 수입지출장부'!$C$5:$C$2006,$C26,'3. 5기 수입지출장부'!$A$5:$A$2006,"&gt;="&amp;DATE(2026,K$5,1),'3. 5기 수입지출장부'!$A$5:$A$2006,"&lt;"&amp;DATE(2026,K$5+1,1),'3. 5기 수입지출장부'!$E$5:$E$2006,"&gt;0")&gt;0,"■","")</f>
        <v/>
      </c>
      <c r="L27" s="14" t="str">
        <f>IF(COUNTIFS('3. 5기 수입지출장부'!$C$5:$C$2006,$C26,'3. 5기 수입지출장부'!$A$5:$A$2006,"&gt;="&amp;DATE(2026,L$5,1),'3. 5기 수입지출장부'!$A$5:$A$2006,"&lt;"&amp;DATE(2026,L$5+1,1),'3. 5기 수입지출장부'!$E$5:$E$2006,"&gt;0")&gt;0,"■","")</f>
        <v/>
      </c>
      <c r="M27" s="14" t="str">
        <f>IF(COUNTIFS('3. 5기 수입지출장부'!$C$5:$C$2006,$C26,'3. 5기 수입지출장부'!$A$5:$A$2006,"&gt;="&amp;DATE(2026,M$5,1),'3. 5기 수입지출장부'!$A$5:$A$2006,"&lt;"&amp;DATE(2026,M$5+1,1),'3. 5기 수입지출장부'!$E$5:$E$2006,"&gt;0")&gt;0,"■","")</f>
        <v/>
      </c>
      <c r="N27" s="14" t="str">
        <f>IF(COUNTIFS('3. 5기 수입지출장부'!$C$5:$C$2006,$C26,'3. 5기 수입지출장부'!$A$5:$A$2006,"&gt;="&amp;DATE(2026,N$5,1),'3. 5기 수입지출장부'!$A$5:$A$2006,"&lt;"&amp;DATE(2026,N$5+1,1),'3. 5기 수입지출장부'!$E$5:$E$2006,"&gt;0")&gt;0,"■","")</f>
        <v/>
      </c>
      <c r="O27" s="14" t="str">
        <f>IF(COUNTIFS('3. 5기 수입지출장부'!$C$5:$C$2006,$C26,'3. 5기 수입지출장부'!$A$5:$A$2006,"&gt;="&amp;DATE(2026,O$5,1),'3. 5기 수입지출장부'!$A$5:$A$2006,"&lt;"&amp;DATE(2026,O$5+1,1),'3. 5기 수입지출장부'!$E$5:$E$2006,"&gt;0")&gt;0,"■","")</f>
        <v/>
      </c>
      <c r="P27" s="9" t="str">
        <f>IF(COUNTIFS('3. 5기 수입지출장부'!$C$5:$C$2006,$C26,'3. 5기 수입지출장부'!$A$5:$A$2006,"&gt;="&amp;DATE(2026,P$5,1),'3. 5기 수입지출장부'!$A$5:$A$2006,"&lt;"&amp;DATE(2026,P$5+1,1),'3. 5기 수입지출장부'!$E$5:$E$2006,"&gt;0")&gt;0,"■","")</f>
        <v/>
      </c>
      <c r="Q27" s="182">
        <f>'3. 5기 수입지출장부'!E206</f>
        <v>0</v>
      </c>
      <c r="R27" s="183"/>
      <c r="S27" s="191"/>
      <c r="T27" s="191"/>
      <c r="U27" s="3"/>
      <c r="V27" s="3"/>
      <c r="W27" s="3"/>
      <c r="X27" s="206"/>
      <c r="Y27" s="208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01"/>
      <c r="AN27" s="187"/>
      <c r="AO27" s="222"/>
      <c r="AP27" s="208"/>
    </row>
    <row r="28" spans="1:42" ht="24.75" customHeight="1">
      <c r="A28" s="3"/>
      <c r="B28" s="188">
        <v>12</v>
      </c>
      <c r="C28" s="184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8">
        <f>'2. 5기_예산목간'!D41</f>
        <v>4000000</v>
      </c>
      <c r="R28" s="219"/>
      <c r="S28" s="190">
        <f>Q29/Q28</f>
        <v>0</v>
      </c>
      <c r="T28" s="202" t="s">
        <v>289</v>
      </c>
      <c r="U28" s="3"/>
      <c r="V28" s="3"/>
      <c r="W28" s="3"/>
      <c r="X28" s="187"/>
      <c r="Y28" s="187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86"/>
      <c r="AN28" s="187"/>
      <c r="AO28" s="187"/>
      <c r="AP28" s="187"/>
    </row>
    <row r="29" spans="1:42" ht="24.75" customHeight="1">
      <c r="A29" s="3"/>
      <c r="B29" s="189"/>
      <c r="C29" s="185"/>
      <c r="D29" s="14" t="s">
        <v>280</v>
      </c>
      <c r="E29" s="14" t="str">
        <f>IF(COUNTIFS('3. 5기 수입지출장부'!$C$5:$C$2006,$C28,'3. 5기 수입지출장부'!$A$5:$A$2006,"&gt;="&amp;DATE(2026,E$5,1),'3. 5기 수입지출장부'!$A$5:$A$2006,"&lt;"&amp;DATE(2026,E$5+1,1),'3. 5기 수입지출장부'!$E$5:$E$2006,"&gt;0")&gt;0,"■","")</f>
        <v/>
      </c>
      <c r="F29" s="14" t="str">
        <f>IF(COUNTIFS('3. 5기 수입지출장부'!$C$5:$C$2006,$C28,'3. 5기 수입지출장부'!$A$5:$A$2006,"&gt;="&amp;DATE(2026,F$5,1),'3. 5기 수입지출장부'!$A$5:$A$2006,"&lt;"&amp;DATE(2026,F$5+1,1),'3. 5기 수입지출장부'!$E$5:$E$2006,"&gt;0")&gt;0,"■","")</f>
        <v/>
      </c>
      <c r="G29" s="14" t="str">
        <f>IF(COUNTIFS('3. 5기 수입지출장부'!$C$5:$C$2006,$C28,'3. 5기 수입지출장부'!$A$5:$A$2006,"&gt;="&amp;DATE(2026,G$5,1),'3. 5기 수입지출장부'!$A$5:$A$2006,"&lt;"&amp;DATE(2026,G$5+1,1),'3. 5기 수입지출장부'!$E$5:$E$2006,"&gt;0")&gt;0,"■","")</f>
        <v/>
      </c>
      <c r="H29" s="14" t="str">
        <f>IF(COUNTIFS('3. 5기 수입지출장부'!$C$5:$C$2006,$C28,'3. 5기 수입지출장부'!$A$5:$A$2006,"&gt;="&amp;DATE(2026,H$5,1),'3. 5기 수입지출장부'!$A$5:$A$2006,"&lt;"&amp;DATE(2026,H$5+1,1),'3. 5기 수입지출장부'!$E$5:$E$2006,"&gt;0")&gt;0,"■","")</f>
        <v/>
      </c>
      <c r="I29" s="14" t="str">
        <f>IF(COUNTIFS('3. 5기 수입지출장부'!$C$5:$C$2006,$C28,'3. 5기 수입지출장부'!$A$5:$A$2006,"&gt;="&amp;DATE(2026,I$5,1),'3. 5기 수입지출장부'!$A$5:$A$2006,"&lt;"&amp;DATE(2026,I$5+1,1),'3. 5기 수입지출장부'!$E$5:$E$2006,"&gt;0")&gt;0,"■","")</f>
        <v/>
      </c>
      <c r="J29" s="14" t="str">
        <f>IF(COUNTIFS('3. 5기 수입지출장부'!$C$5:$C$2006,$C28,'3. 5기 수입지출장부'!$A$5:$A$2006,"&gt;="&amp;DATE(2026,J$5,1),'3. 5기 수입지출장부'!$A$5:$A$2006,"&lt;"&amp;DATE(2026,J$5+1,1),'3. 5기 수입지출장부'!$E$5:$E$2006,"&gt;0")&gt;0,"■","")</f>
        <v/>
      </c>
      <c r="K29" s="14" t="str">
        <f>IF(COUNTIFS('3. 5기 수입지출장부'!$C$5:$C$2006,$C28,'3. 5기 수입지출장부'!$A$5:$A$2006,"&gt;="&amp;DATE(2026,K$5,1),'3. 5기 수입지출장부'!$A$5:$A$2006,"&lt;"&amp;DATE(2026,K$5+1,1),'3. 5기 수입지출장부'!$E$5:$E$2006,"&gt;0")&gt;0,"■","")</f>
        <v/>
      </c>
      <c r="L29" s="14" t="str">
        <f>IF(COUNTIFS('3. 5기 수입지출장부'!$C$5:$C$2006,$C28,'3. 5기 수입지출장부'!$A$5:$A$2006,"&gt;="&amp;DATE(2026,L$5,1),'3. 5기 수입지출장부'!$A$5:$A$2006,"&lt;"&amp;DATE(2026,L$5+1,1),'3. 5기 수입지출장부'!$E$5:$E$2006,"&gt;0")&gt;0,"■","")</f>
        <v/>
      </c>
      <c r="M29" s="9" t="str">
        <f>IF(COUNTIFS('3. 5기 수입지출장부'!$C$5:$C$2006,$C28,'3. 5기 수입지출장부'!$A$5:$A$2006,"&gt;="&amp;DATE(2026,M$5,1),'3. 5기 수입지출장부'!$A$5:$A$2006,"&lt;"&amp;DATE(2026,M$5+1,1),'3. 5기 수입지출장부'!$E$5:$E$2006,"&gt;0")&gt;0,"■","")</f>
        <v/>
      </c>
      <c r="N29" s="9" t="str">
        <f>IF(COUNTIFS('3. 5기 수입지출장부'!$C$5:$C$2006,$C28,'3. 5기 수입지출장부'!$A$5:$A$2006,"&gt;="&amp;DATE(2026,N$5,1),'3. 5기 수입지출장부'!$A$5:$A$2006,"&lt;"&amp;DATE(2026,N$5+1,1),'3. 5기 수입지출장부'!$E$5:$E$2006,"&gt;0")&gt;0,"■","")</f>
        <v/>
      </c>
      <c r="O29" s="21" t="str">
        <f>IF(COUNTIFS('3. 5기 수입지출장부'!$C$5:$C$2006,$C28,'3. 5기 수입지출장부'!$A$5:$A$2006,"&gt;="&amp;DATE(2026,O$5,1),'3. 5기 수입지출장부'!$A$5:$A$2006,"&lt;"&amp;DATE(2026,O$5+1,1),'3. 5기 수입지출장부'!$E$5:$E$2006,"&gt;0")&gt;0,"■","")</f>
        <v/>
      </c>
      <c r="P29" s="14" t="str">
        <f>IF(COUNTIFS('3. 5기 수입지출장부'!$C$5:$C$2006,$C28,'3. 5기 수입지출장부'!$A$5:$A$2006,"&gt;="&amp;DATE(2026,P$5,1),'3. 5기 수입지출장부'!$A$5:$A$2006,"&lt;"&amp;DATE(2026,P$5+1,1),'3. 5기 수입지출장부'!$E$5:$E$2006,"&gt;0")&gt;0,"■","")</f>
        <v/>
      </c>
      <c r="Q29" s="182">
        <f>'3. 5기 수입지출장부'!E207</f>
        <v>0</v>
      </c>
      <c r="R29" s="183"/>
      <c r="S29" s="191"/>
      <c r="T29" s="191"/>
      <c r="U29" s="3"/>
      <c r="V29" s="3"/>
      <c r="W29" s="3"/>
      <c r="X29" s="206"/>
      <c r="Y29" s="208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1"/>
      <c r="AN29" s="187"/>
      <c r="AO29" s="222"/>
      <c r="AP29" s="208"/>
    </row>
    <row r="30" spans="1:42" ht="24.75" customHeight="1">
      <c r="A30" s="3"/>
      <c r="B30" s="192">
        <v>13</v>
      </c>
      <c r="C30" s="184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8">
        <f>'2. 5기_예산목간'!D42</f>
        <v>2300000</v>
      </c>
      <c r="R30" s="219"/>
      <c r="S30" s="190">
        <f>Q31/Q30</f>
        <v>0</v>
      </c>
      <c r="T30" s="202" t="s">
        <v>289</v>
      </c>
      <c r="U30" s="3"/>
      <c r="V30" s="3"/>
      <c r="W30" s="3"/>
      <c r="X30" s="187"/>
      <c r="Y30" s="187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86"/>
      <c r="AN30" s="187"/>
      <c r="AO30" s="187"/>
      <c r="AP30" s="187"/>
    </row>
    <row r="31" spans="1:42" ht="24.75" customHeight="1">
      <c r="A31" s="3"/>
      <c r="B31" s="189"/>
      <c r="C31" s="185"/>
      <c r="D31" s="14" t="s">
        <v>280</v>
      </c>
      <c r="E31" s="14" t="str">
        <f>IF(COUNTIFS('3. 5기 수입지출장부'!$C$5:$C$2006,$C30,'3. 5기 수입지출장부'!$A$5:$A$2006,"&gt;="&amp;DATE(2026,E$5,1),'3. 5기 수입지출장부'!$A$5:$A$2006,"&lt;"&amp;DATE(2026,E$5+1,1),'3. 5기 수입지출장부'!$E$5:$E$2006,"&gt;0")&gt;0,"■","")</f>
        <v/>
      </c>
      <c r="F31" s="14" t="str">
        <f>IF(COUNTIFS('3. 5기 수입지출장부'!$C$5:$C$2006,$C30,'3. 5기 수입지출장부'!$A$5:$A$2006,"&gt;="&amp;DATE(2026,F$5,1),'3. 5기 수입지출장부'!$A$5:$A$2006,"&lt;"&amp;DATE(2026,F$5+1,1),'3. 5기 수입지출장부'!$E$5:$E$2006,"&gt;0")&gt;0,"■","")</f>
        <v/>
      </c>
      <c r="G31" s="14" t="str">
        <f>IF(COUNTIFS('3. 5기 수입지출장부'!$C$5:$C$2006,$C30,'3. 5기 수입지출장부'!$A$5:$A$2006,"&gt;="&amp;DATE(2026,G$5,1),'3. 5기 수입지출장부'!$A$5:$A$2006,"&lt;"&amp;DATE(2026,G$5+1,1),'3. 5기 수입지출장부'!$E$5:$E$2006,"&gt;0")&gt;0,"■","")</f>
        <v/>
      </c>
      <c r="H31" s="14" t="str">
        <f>IF(COUNTIFS('3. 5기 수입지출장부'!$C$5:$C$2006,$C30,'3. 5기 수입지출장부'!$A$5:$A$2006,"&gt;="&amp;DATE(2026,H$5,1),'3. 5기 수입지출장부'!$A$5:$A$2006,"&lt;"&amp;DATE(2026,H$5+1,1),'3. 5기 수입지출장부'!$E$5:$E$2006,"&gt;0")&gt;0,"■","")</f>
        <v/>
      </c>
      <c r="I31" s="9" t="str">
        <f>IF(COUNTIFS('3. 5기 수입지출장부'!$C$5:$C$2006,$C30,'3. 5기 수입지출장부'!$A$5:$A$2006,"&gt;="&amp;DATE(2026,I$5,1),'3. 5기 수입지출장부'!$A$5:$A$2006,"&lt;"&amp;DATE(2026,I$5+1,1),'3. 5기 수입지출장부'!$E$5:$E$2006,"&gt;0")&gt;0,"■","")</f>
        <v/>
      </c>
      <c r="J31" s="9" t="str">
        <f>IF(COUNTIFS('3. 5기 수입지출장부'!$C$5:$C$2006,$C30,'3. 5기 수입지출장부'!$A$5:$A$2006,"&gt;="&amp;DATE(2026,J$5,1),'3. 5기 수입지출장부'!$A$5:$A$2006,"&lt;"&amp;DATE(2026,J$5+1,1),'3. 5기 수입지출장부'!$E$5:$E$2006,"&gt;0")&gt;0,"■","")</f>
        <v/>
      </c>
      <c r="K31" s="14" t="str">
        <f>IF(COUNTIFS('3. 5기 수입지출장부'!$C$5:$C$2006,$C30,'3. 5기 수입지출장부'!$A$5:$A$2006,"&gt;="&amp;DATE(2026,K$5,1),'3. 5기 수입지출장부'!$A$5:$A$2006,"&lt;"&amp;DATE(2026,K$5+1,1),'3. 5기 수입지출장부'!$E$5:$E$2006,"&gt;0")&gt;0,"■","")</f>
        <v/>
      </c>
      <c r="L31" s="14" t="str">
        <f>IF(COUNTIFS('3. 5기 수입지출장부'!$C$5:$C$2006,$C30,'3. 5기 수입지출장부'!$A$5:$A$2006,"&gt;="&amp;DATE(2026,L$5,1),'3. 5기 수입지출장부'!$A$5:$A$2006,"&lt;"&amp;DATE(2026,L$5+1,1),'3. 5기 수입지출장부'!$E$5:$E$2006,"&gt;0")&gt;0,"■","")</f>
        <v/>
      </c>
      <c r="M31" s="14" t="str">
        <f>IF(COUNTIFS('3. 5기 수입지출장부'!$C$5:$C$2006,$C30,'3. 5기 수입지출장부'!$A$5:$A$2006,"&gt;="&amp;DATE(2026,M$5,1),'3. 5기 수입지출장부'!$A$5:$A$2006,"&lt;"&amp;DATE(2026,M$5+1,1),'3. 5기 수입지출장부'!$E$5:$E$2006,"&gt;0")&gt;0,"■","")</f>
        <v/>
      </c>
      <c r="N31" s="14" t="str">
        <f>IF(COUNTIFS('3. 5기 수입지출장부'!$C$5:$C$2006,$C30,'3. 5기 수입지출장부'!$A$5:$A$2006,"&gt;="&amp;DATE(2026,N$5,1),'3. 5기 수입지출장부'!$A$5:$A$2006,"&lt;"&amp;DATE(2026,N$5+1,1),'3. 5기 수입지출장부'!$E$5:$E$2006,"&gt;0")&gt;0,"■","")</f>
        <v/>
      </c>
      <c r="O31" s="21" t="str">
        <f>IF(COUNTIFS('3. 5기 수입지출장부'!$C$5:$C$2006,$C30,'3. 5기 수입지출장부'!$A$5:$A$2006,"&gt;="&amp;DATE(2026,O$5,1),'3. 5기 수입지출장부'!$A$5:$A$2006,"&lt;"&amp;DATE(2026,O$5+1,1),'3. 5기 수입지출장부'!$E$5:$E$2006,"&gt;0")&gt;0,"■","")</f>
        <v/>
      </c>
      <c r="P31" s="14" t="str">
        <f>IF(COUNTIFS('3. 5기 수입지출장부'!$C$5:$C$2006,$C30,'3. 5기 수입지출장부'!$A$5:$A$2006,"&gt;="&amp;DATE(2026,P$5,1),'3. 5기 수입지출장부'!$A$5:$A$2006,"&lt;"&amp;DATE(2026,P$5+1,1),'3. 5기 수입지출장부'!$E$5:$E$2006,"&gt;0")&gt;0,"■","")</f>
        <v/>
      </c>
      <c r="Q31" s="182">
        <f>'3. 5기 수입지출장부'!E208</f>
        <v>0</v>
      </c>
      <c r="R31" s="183"/>
      <c r="S31" s="191"/>
      <c r="T31" s="191"/>
      <c r="U31" s="3"/>
      <c r="V31" s="3"/>
      <c r="W31" s="3"/>
      <c r="X31" s="206"/>
      <c r="Y31" s="208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201"/>
      <c r="AN31" s="187"/>
      <c r="AO31" s="222"/>
      <c r="AP31" s="208"/>
    </row>
    <row r="32" spans="1:42" ht="24.75" customHeight="1">
      <c r="A32" s="3"/>
      <c r="B32" s="188">
        <v>14</v>
      </c>
      <c r="C32" s="184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8">
        <f>'2. 5기_예산목간'!D43</f>
        <v>0</v>
      </c>
      <c r="R32" s="219"/>
      <c r="S32" s="190"/>
      <c r="T32" s="202" t="s">
        <v>289</v>
      </c>
      <c r="U32" s="3"/>
      <c r="V32" s="3"/>
      <c r="W32" s="3"/>
      <c r="X32" s="187"/>
      <c r="Y32" s="187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86"/>
      <c r="AN32" s="187"/>
      <c r="AO32" s="187"/>
      <c r="AP32" s="187"/>
    </row>
    <row r="33" spans="1:42" ht="24.75" customHeight="1">
      <c r="A33" s="3"/>
      <c r="B33" s="189"/>
      <c r="C33" s="185"/>
      <c r="D33" s="14" t="s">
        <v>280</v>
      </c>
      <c r="E33" s="14" t="str">
        <f>IF(COUNTIFS('3. 5기 수입지출장부'!$C$5:$C$2006,$C32,'3. 5기 수입지출장부'!$A$5:$A$2006,"&gt;="&amp;DATE(2026,E$5,1),'3. 5기 수입지출장부'!$A$5:$A$2006,"&lt;"&amp;DATE(2026,E$5+1,1),'3. 5기 수입지출장부'!$E$5:$E$2006,"&gt;0")&gt;0,"■","")</f>
        <v/>
      </c>
      <c r="F33" s="14" t="str">
        <f>IF(COUNTIFS('3. 5기 수입지출장부'!$C$5:$C$2006,$C32,'3. 5기 수입지출장부'!$A$5:$A$2006,"&gt;="&amp;DATE(2026,F$5,1),'3. 5기 수입지출장부'!$A$5:$A$2006,"&lt;"&amp;DATE(2026,F$5+1,1),'3. 5기 수입지출장부'!$E$5:$E$2006,"&gt;0")&gt;0,"■","")</f>
        <v/>
      </c>
      <c r="G33" s="14" t="str">
        <f>IF(COUNTIFS('3. 5기 수입지출장부'!$C$5:$C$2006,$C32,'3. 5기 수입지출장부'!$A$5:$A$2006,"&gt;="&amp;DATE(2026,G$5,1),'3. 5기 수입지출장부'!$A$5:$A$2006,"&lt;"&amp;DATE(2026,G$5+1,1),'3. 5기 수입지출장부'!$E$5:$E$2006,"&gt;0")&gt;0,"■","")</f>
        <v/>
      </c>
      <c r="H33" s="14" t="str">
        <f>IF(COUNTIFS('3. 5기 수입지출장부'!$C$5:$C$2006,$C32,'3. 5기 수입지출장부'!$A$5:$A$2006,"&gt;="&amp;DATE(2026,H$5,1),'3. 5기 수입지출장부'!$A$5:$A$2006,"&lt;"&amp;DATE(2026,H$5+1,1),'3. 5기 수입지출장부'!$E$5:$E$2006,"&gt;0")&gt;0,"■","")</f>
        <v/>
      </c>
      <c r="I33" s="14" t="str">
        <f>IF(COUNTIFS('3. 5기 수입지출장부'!$C$5:$C$2006,$C32,'3. 5기 수입지출장부'!$A$5:$A$2006,"&gt;="&amp;DATE(2026,I$5,1),'3. 5기 수입지출장부'!$A$5:$A$2006,"&lt;"&amp;DATE(2026,I$5+1,1),'3. 5기 수입지출장부'!$E$5:$E$2006,"&gt;0")&gt;0,"■","")</f>
        <v/>
      </c>
      <c r="J33" s="14" t="str">
        <f>IF(COUNTIFS('3. 5기 수입지출장부'!$C$5:$C$2006,$C32,'3. 5기 수입지출장부'!$A$5:$A$2006,"&gt;="&amp;DATE(2026,J$5,1),'3. 5기 수입지출장부'!$A$5:$A$2006,"&lt;"&amp;DATE(2026,J$5+1,1),'3. 5기 수입지출장부'!$E$5:$E$2006,"&gt;0")&gt;0,"■","")</f>
        <v/>
      </c>
      <c r="K33" s="14" t="str">
        <f>IF(COUNTIFS('3. 5기 수입지출장부'!$C$5:$C$2006,$C32,'3. 5기 수입지출장부'!$A$5:$A$2006,"&gt;="&amp;DATE(2026,K$5,1),'3. 5기 수입지출장부'!$A$5:$A$2006,"&lt;"&amp;DATE(2026,K$5+1,1),'3. 5기 수입지출장부'!$E$5:$E$2006,"&gt;0")&gt;0,"■","")</f>
        <v/>
      </c>
      <c r="L33" s="14" t="str">
        <f>IF(COUNTIFS('3. 5기 수입지출장부'!$C$5:$C$2006,$C32,'3. 5기 수입지출장부'!$A$5:$A$2006,"&gt;="&amp;DATE(2026,L$5,1),'3. 5기 수입지출장부'!$A$5:$A$2006,"&lt;"&amp;DATE(2026,L$5+1,1),'3. 5기 수입지출장부'!$E$5:$E$2006,"&gt;0")&gt;0,"■","")</f>
        <v/>
      </c>
      <c r="M33" s="14" t="str">
        <f>IF(COUNTIFS('3. 5기 수입지출장부'!$C$5:$C$2006,$C32,'3. 5기 수입지출장부'!$A$5:$A$2006,"&gt;="&amp;DATE(2026,M$5,1),'3. 5기 수입지출장부'!$A$5:$A$2006,"&lt;"&amp;DATE(2026,M$5+1,1),'3. 5기 수입지출장부'!$E$5:$E$2006,"&gt;0")&gt;0,"■","")</f>
        <v/>
      </c>
      <c r="N33" s="11" t="str">
        <f>IF(COUNTIFS('3. 5기 수입지출장부'!$C$5:$C$2006,$C32,'3. 5기 수입지출장부'!$A$5:$A$2006,"&gt;="&amp;DATE(2026,N$5,1),'3. 5기 수입지출장부'!$A$5:$A$2006,"&lt;"&amp;DATE(2026,N$5+1,1),'3. 5기 수입지출장부'!$E$5:$E$2006,"&gt;0")&gt;0,"■","")</f>
        <v/>
      </c>
      <c r="O33" s="21" t="str">
        <f>IF(COUNTIFS('3. 5기 수입지출장부'!$C$5:$C$2006,$C32,'3. 5기 수입지출장부'!$A$5:$A$2006,"&gt;="&amp;DATE(2026,O$5,1),'3. 5기 수입지출장부'!$A$5:$A$2006,"&lt;"&amp;DATE(2026,O$5+1,1),'3. 5기 수입지출장부'!$E$5:$E$2006,"&gt;0")&gt;0,"■","")</f>
        <v/>
      </c>
      <c r="P33" s="14" t="str">
        <f>IF(COUNTIFS('3. 5기 수입지출장부'!$C$5:$C$2006,$C32,'3. 5기 수입지출장부'!$A$5:$A$2006,"&gt;="&amp;DATE(2026,P$5,1),'3. 5기 수입지출장부'!$A$5:$A$2006,"&lt;"&amp;DATE(2026,P$5+1,1),'3. 5기 수입지출장부'!$E$5:$E$2006,"&gt;0")&gt;0,"■","")</f>
        <v/>
      </c>
      <c r="Q33" s="182">
        <f>'3. 5기 수입지출장부'!E209</f>
        <v>0</v>
      </c>
      <c r="R33" s="183"/>
      <c r="S33" s="191"/>
      <c r="T33" s="191"/>
      <c r="U33" s="3"/>
      <c r="V33" s="3"/>
      <c r="W33" s="3"/>
      <c r="X33" s="206"/>
      <c r="Y33" s="208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1"/>
      <c r="AN33" s="187"/>
      <c r="AO33" s="222"/>
      <c r="AP33" s="208"/>
    </row>
    <row r="34" spans="1:42" ht="24.75" customHeight="1">
      <c r="A34" s="3"/>
      <c r="B34" s="188">
        <f>B32+1</f>
        <v>15</v>
      </c>
      <c r="C34" s="184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8">
        <f>'2. 5기_예산목간'!D45</f>
        <v>600000</v>
      </c>
      <c r="R34" s="219"/>
      <c r="S34" s="209">
        <f>Q35/Q34</f>
        <v>0</v>
      </c>
      <c r="T34" s="212" t="s">
        <v>290</v>
      </c>
      <c r="U34" s="3"/>
      <c r="V34" s="3"/>
      <c r="W34" s="3"/>
      <c r="X34" s="187"/>
      <c r="Y34" s="187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86"/>
      <c r="AN34" s="187"/>
      <c r="AO34" s="187"/>
      <c r="AP34" s="187"/>
    </row>
    <row r="35" spans="1:42" ht="24.75" customHeight="1">
      <c r="A35" s="3"/>
      <c r="B35" s="189"/>
      <c r="C35" s="185"/>
      <c r="D35" s="14" t="s">
        <v>280</v>
      </c>
      <c r="E35" s="14" t="str">
        <f>IF(COUNTIFS('3. 5기 수입지출장부'!$C$5:$C$2006,$C34,'3. 5기 수입지출장부'!$A$5:$A$2006,"&gt;="&amp;DATE(2026,E$5,1),'3. 5기 수입지출장부'!$A$5:$A$2006,"&lt;"&amp;DATE(2026,E$5+1,1),'3. 5기 수입지출장부'!$E$5:$E$2006,"&gt;0")&gt;0,"■","")</f>
        <v/>
      </c>
      <c r="F35" s="14" t="str">
        <f>IF(COUNTIFS('3. 5기 수입지출장부'!$C$5:$C$2006,$C34,'3. 5기 수입지출장부'!$A$5:$A$2006,"&gt;="&amp;DATE(2026,F$5,1),'3. 5기 수입지출장부'!$A$5:$A$2006,"&lt;"&amp;DATE(2026,F$5+1,1),'3. 5기 수입지출장부'!$E$5:$E$2006,"&gt;0")&gt;0,"■","")</f>
        <v/>
      </c>
      <c r="G35" s="14" t="str">
        <f>IF(COUNTIFS('3. 5기 수입지출장부'!$C$5:$C$2006,$C34,'3. 5기 수입지출장부'!$A$5:$A$2006,"&gt;="&amp;DATE(2026,G$5,1),'3. 5기 수입지출장부'!$A$5:$A$2006,"&lt;"&amp;DATE(2026,G$5+1,1),'3. 5기 수입지출장부'!$E$5:$E$2006,"&gt;0")&gt;0,"■","")</f>
        <v/>
      </c>
      <c r="H35" s="14" t="str">
        <f>IF(COUNTIFS('3. 5기 수입지출장부'!$C$5:$C$2006,$C34,'3. 5기 수입지출장부'!$A$5:$A$2006,"&gt;="&amp;DATE(2026,H$5,1),'3. 5기 수입지출장부'!$A$5:$A$2006,"&lt;"&amp;DATE(2026,H$5+1,1),'3. 5기 수입지출장부'!$E$5:$E$2006,"&gt;0")&gt;0,"■","")</f>
        <v/>
      </c>
      <c r="I35" s="14" t="str">
        <f>IF(COUNTIFS('3. 5기 수입지출장부'!$C$5:$C$2006,$C34,'3. 5기 수입지출장부'!$A$5:$A$2006,"&gt;="&amp;DATE(2026,I$5,1),'3. 5기 수입지출장부'!$A$5:$A$2006,"&lt;"&amp;DATE(2026,I$5+1,1),'3. 5기 수입지출장부'!$E$5:$E$2006,"&gt;0")&gt;0,"■","")</f>
        <v/>
      </c>
      <c r="J35" s="14" t="str">
        <f>IF(COUNTIFS('3. 5기 수입지출장부'!$C$5:$C$2006,$C34,'3. 5기 수입지출장부'!$A$5:$A$2006,"&gt;="&amp;DATE(2026,J$5,1),'3. 5기 수입지출장부'!$A$5:$A$2006,"&lt;"&amp;DATE(2026,J$5+1,1),'3. 5기 수입지출장부'!$E$5:$E$2006,"&gt;0")&gt;0,"■","")</f>
        <v/>
      </c>
      <c r="K35" s="14" t="str">
        <f>IF(COUNTIFS('3. 5기 수입지출장부'!$C$5:$C$2006,$C34,'3. 5기 수입지출장부'!$A$5:$A$2006,"&gt;="&amp;DATE(2026,K$5,1),'3. 5기 수입지출장부'!$A$5:$A$2006,"&lt;"&amp;DATE(2026,K$5+1,1),'3. 5기 수입지출장부'!$E$5:$E$2006,"&gt;0")&gt;0,"■","")</f>
        <v/>
      </c>
      <c r="L35" s="14" t="str">
        <f>IF(COUNTIFS('3. 5기 수입지출장부'!$C$5:$C$2006,$C34,'3. 5기 수입지출장부'!$A$5:$A$2006,"&gt;="&amp;DATE(2026,L$5,1),'3. 5기 수입지출장부'!$A$5:$A$2006,"&lt;"&amp;DATE(2026,L$5+1,1),'3. 5기 수입지출장부'!$E$5:$E$2006,"&gt;0")&gt;0,"■","")</f>
        <v/>
      </c>
      <c r="M35" s="9" t="str">
        <f>IF(COUNTIFS('3. 5기 수입지출장부'!$C$5:$C$2006,$C34,'3. 5기 수입지출장부'!$A$5:$A$2006,"&gt;="&amp;DATE(2026,M$5,1),'3. 5기 수입지출장부'!$A$5:$A$2006,"&lt;"&amp;DATE(2026,M$5+1,1),'3. 5기 수입지출장부'!$E$5:$E$2006,"&gt;0")&gt;0,"■","")</f>
        <v/>
      </c>
      <c r="N35" s="9" t="str">
        <f>IF(COUNTIFS('3. 5기 수입지출장부'!$C$5:$C$2006,$C34,'3. 5기 수입지출장부'!$A$5:$A$2006,"&gt;="&amp;DATE(2026,N$5,1),'3. 5기 수입지출장부'!$A$5:$A$2006,"&lt;"&amp;DATE(2026,N$5+1,1),'3. 5기 수입지출장부'!$E$5:$E$2006,"&gt;0")&gt;0,"■","")</f>
        <v/>
      </c>
      <c r="O35" s="14" t="str">
        <f>IF(COUNTIFS('3. 5기 수입지출장부'!$C$5:$C$2006,$C34,'3. 5기 수입지출장부'!$A$5:$A$2006,"&gt;="&amp;DATE(2026,O$5,1),'3. 5기 수입지출장부'!$A$5:$A$2006,"&lt;"&amp;DATE(2026,O$5+1,1),'3. 5기 수입지출장부'!$E$5:$E$2006,"&gt;0")&gt;0,"■","")</f>
        <v/>
      </c>
      <c r="P35" s="14" t="str">
        <f>IF(COUNTIFS('3. 5기 수입지출장부'!$C$5:$C$2006,$C34,'3. 5기 수입지출장부'!$A$5:$A$2006,"&gt;="&amp;DATE(2026,P$5,1),'3. 5기 수입지출장부'!$A$5:$A$2006,"&lt;"&amp;DATE(2026,P$5+1,1),'3. 5기 수입지출장부'!$E$5:$E$2006,"&gt;0")&gt;0,"■","")</f>
        <v/>
      </c>
      <c r="Q35" s="182">
        <f>'3. 5기 수입지출장부'!E210</f>
        <v>0</v>
      </c>
      <c r="R35" s="183"/>
      <c r="S35" s="191"/>
      <c r="T35" s="213"/>
      <c r="U35" s="3"/>
      <c r="V35" s="3"/>
      <c r="W35" s="3"/>
      <c r="X35" s="206"/>
      <c r="Y35" s="208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1"/>
      <c r="AN35" s="187"/>
      <c r="AO35" s="222"/>
      <c r="AP35" s="208"/>
    </row>
    <row r="36" spans="1:42" ht="24.75" customHeight="1">
      <c r="A36" s="3"/>
      <c r="B36" s="188">
        <v>16</v>
      </c>
      <c r="C36" s="184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8">
        <f>'2. 5기_예산목간'!D47</f>
        <v>300000</v>
      </c>
      <c r="R36" s="219"/>
      <c r="S36" s="249">
        <f>Q37/Q36</f>
        <v>0</v>
      </c>
      <c r="T36" s="212" t="s">
        <v>291</v>
      </c>
      <c r="U36" s="3"/>
      <c r="V36" s="3"/>
      <c r="W36" s="3"/>
      <c r="X36" s="187"/>
      <c r="Y36" s="187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86"/>
      <c r="AN36" s="187"/>
      <c r="AO36" s="187"/>
      <c r="AP36" s="187"/>
    </row>
    <row r="37" spans="1:42" ht="24.75" customHeight="1">
      <c r="A37" s="3"/>
      <c r="B37" s="189"/>
      <c r="C37" s="185"/>
      <c r="D37" s="14" t="s">
        <v>280</v>
      </c>
      <c r="E37" s="14" t="str">
        <f>IF(COUNTIFS('3. 5기 수입지출장부'!$C$5:$C$2006,$C36,'3. 5기 수입지출장부'!$A$5:$A$2006,"&gt;="&amp;DATE(2026,E$5,1),'3. 5기 수입지출장부'!$A$5:$A$2006,"&lt;"&amp;DATE(2026,E$5+1,1),'3. 5기 수입지출장부'!$E$5:$E$2006,"&gt;0")&gt;0,"■","")</f>
        <v/>
      </c>
      <c r="F37" s="14" t="str">
        <f>IF(COUNTIFS('3. 5기 수입지출장부'!$C$5:$C$2006,$C36,'3. 5기 수입지출장부'!$A$5:$A$2006,"&gt;="&amp;DATE(2026,F$5,1),'3. 5기 수입지출장부'!$A$5:$A$2006,"&lt;"&amp;DATE(2026,F$5+1,1),'3. 5기 수입지출장부'!$E$5:$E$2006,"&gt;0")&gt;0,"■","")</f>
        <v/>
      </c>
      <c r="G37" s="14" t="str">
        <f>IF(COUNTIFS('3. 5기 수입지출장부'!$C$5:$C$2006,$C36,'3. 5기 수입지출장부'!$A$5:$A$2006,"&gt;="&amp;DATE(2026,G$5,1),'3. 5기 수입지출장부'!$A$5:$A$2006,"&lt;"&amp;DATE(2026,G$5+1,1),'3. 5기 수입지출장부'!$E$5:$E$2006,"&gt;0")&gt;0,"■","")</f>
        <v/>
      </c>
      <c r="H37" s="5" t="str">
        <f>IF(COUNTIFS('3. 5기 수입지출장부'!$C$5:$C$2006,$C36,'3. 5기 수입지출장부'!$A$5:$A$2006,"&gt;="&amp;DATE(2026,H$5,1),'3. 5기 수입지출장부'!$A$5:$A$2006,"&lt;"&amp;DATE(2026,H$5+1,1),'3. 5기 수입지출장부'!$E$5:$E$2006,"&gt;0")&gt;0,"■","")</f>
        <v/>
      </c>
      <c r="I37" s="5" t="str">
        <f>IF(COUNTIFS('3. 5기 수입지출장부'!$C$5:$C$2006,$C36,'3. 5기 수입지출장부'!$A$5:$A$2006,"&gt;="&amp;DATE(2026,I$5,1),'3. 5기 수입지출장부'!$A$5:$A$2006,"&lt;"&amp;DATE(2026,I$5+1,1),'3. 5기 수입지출장부'!$E$5:$E$2006,"&gt;0")&gt;0,"■","")</f>
        <v/>
      </c>
      <c r="J37" s="5" t="str">
        <f>IF(COUNTIFS('3. 5기 수입지출장부'!$C$5:$C$2006,$C36,'3. 5기 수입지출장부'!$A$5:$A$2006,"&gt;="&amp;DATE(2026,J$5,1),'3. 5기 수입지출장부'!$A$5:$A$2006,"&lt;"&amp;DATE(2026,J$5+1,1),'3. 5기 수입지출장부'!$E$5:$E$2006,"&gt;0")&gt;0,"■","")</f>
        <v/>
      </c>
      <c r="K37" s="5" t="str">
        <f>IF(COUNTIFS('3. 5기 수입지출장부'!$C$5:$C$2006,$C36,'3. 5기 수입지출장부'!$A$5:$A$2006,"&gt;="&amp;DATE(2026,K$5,1),'3. 5기 수입지출장부'!$A$5:$A$2006,"&lt;"&amp;DATE(2026,K$5+1,1),'3. 5기 수입지출장부'!$E$5:$E$2006,"&gt;0")&gt;0,"■","")</f>
        <v/>
      </c>
      <c r="L37" s="5" t="str">
        <f>IF(COUNTIFS('3. 5기 수입지출장부'!$C$5:$C$2006,$C36,'3. 5기 수입지출장부'!$A$5:$A$2006,"&gt;="&amp;DATE(2026,L$5,1),'3. 5기 수입지출장부'!$A$5:$A$2006,"&lt;"&amp;DATE(2026,L$5+1,1),'3. 5기 수입지출장부'!$E$5:$E$2006,"&gt;0")&gt;0,"■","")</f>
        <v/>
      </c>
      <c r="M37" s="5" t="str">
        <f>IF(COUNTIFS('3. 5기 수입지출장부'!$C$5:$C$2006,$C36,'3. 5기 수입지출장부'!$A$5:$A$2006,"&gt;="&amp;DATE(2026,M$5,1),'3. 5기 수입지출장부'!$A$5:$A$2006,"&lt;"&amp;DATE(2026,M$5+1,1),'3. 5기 수입지출장부'!$E$5:$E$2006,"&gt;0")&gt;0,"■","")</f>
        <v/>
      </c>
      <c r="N37" s="5" t="str">
        <f>IF(COUNTIFS('3. 5기 수입지출장부'!$C$5:$C$2006,$C36,'3. 5기 수입지출장부'!$A$5:$A$2006,"&gt;="&amp;DATE(2026,N$5,1),'3. 5기 수입지출장부'!$A$5:$A$2006,"&lt;"&amp;DATE(2026,N$5+1,1),'3. 5기 수입지출장부'!$E$5:$E$2006,"&gt;0")&gt;0,"■","")</f>
        <v/>
      </c>
      <c r="O37" s="5" t="str">
        <f>IF(COUNTIFS('3. 5기 수입지출장부'!$C$5:$C$2006,$C36,'3. 5기 수입지출장부'!$A$5:$A$2006,"&gt;="&amp;DATE(2026,O$5,1),'3. 5기 수입지출장부'!$A$5:$A$2006,"&lt;"&amp;DATE(2026,O$5+1,1),'3. 5기 수입지출장부'!$E$5:$E$2006,"&gt;0")&gt;0,"■","")</f>
        <v/>
      </c>
      <c r="P37" s="14" t="str">
        <f>IF(COUNTIFS('3. 5기 수입지출장부'!$C$5:$C$2006,$C36,'3. 5기 수입지출장부'!$A$5:$A$2006,"&gt;="&amp;DATE(2026,P$5,1),'3. 5기 수입지출장부'!$A$5:$A$2006,"&lt;"&amp;DATE(2026,P$5+1,1),'3. 5기 수입지출장부'!$E$5:$E$2006,"&gt;0")&gt;0,"■","")</f>
        <v/>
      </c>
      <c r="Q37" s="214">
        <f>'3. 5기 수입지출장부'!E211</f>
        <v>0</v>
      </c>
      <c r="R37" s="215"/>
      <c r="S37" s="250"/>
      <c r="T37" s="213"/>
      <c r="U37" s="3"/>
      <c r="V37" s="3"/>
      <c r="W37" s="3"/>
      <c r="X37" s="206"/>
      <c r="Y37" s="208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1"/>
      <c r="AN37" s="187"/>
      <c r="AO37" s="222"/>
      <c r="AP37" s="208"/>
    </row>
    <row r="38" spans="1:42" ht="24.75" customHeight="1">
      <c r="A38" s="3"/>
      <c r="B38" s="192">
        <v>17</v>
      </c>
      <c r="C38" s="184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8">
        <f>'2. 5기_예산목간'!D49</f>
        <v>500000</v>
      </c>
      <c r="R38" s="219"/>
      <c r="S38" s="209">
        <v>0</v>
      </c>
      <c r="T38" s="212" t="s">
        <v>292</v>
      </c>
      <c r="U38" s="3"/>
      <c r="V38" s="3"/>
      <c r="W38" s="3"/>
      <c r="X38" s="187"/>
      <c r="Y38" s="187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86"/>
      <c r="AN38" s="187"/>
      <c r="AO38" s="187"/>
      <c r="AP38" s="187"/>
    </row>
    <row r="39" spans="1:42" ht="24.75" customHeight="1">
      <c r="A39" s="3"/>
      <c r="B39" s="189"/>
      <c r="C39" s="185"/>
      <c r="D39" s="14" t="s">
        <v>280</v>
      </c>
      <c r="E39" s="14" t="str">
        <f>IF(COUNTIFS('3. 5기 수입지출장부'!$C$5:$C$2006,$C38,'3. 5기 수입지출장부'!$A$5:$A$2006,"&gt;="&amp;DATE(2026,E$5,1),'3. 5기 수입지출장부'!$A$5:$A$2006,"&lt;"&amp;DATE(2026,E$5+1,1),'3. 5기 수입지출장부'!$E$5:$E$2006,"&gt;0")&gt;0,"■","")</f>
        <v/>
      </c>
      <c r="F39" s="14" t="str">
        <f>IF(COUNTIFS('3. 5기 수입지출장부'!$C$5:$C$2006,$C38,'3. 5기 수입지출장부'!$A$5:$A$2006,"&gt;="&amp;DATE(2026,F$5,1),'3. 5기 수입지출장부'!$A$5:$A$2006,"&lt;"&amp;DATE(2026,F$5+1,1),'3. 5기 수입지출장부'!$E$5:$E$2006,"&gt;0")&gt;0,"■","")</f>
        <v/>
      </c>
      <c r="G39" s="14" t="str">
        <f>IF(COUNTIFS('3. 5기 수입지출장부'!$C$5:$C$2006,$C38,'3. 5기 수입지출장부'!$A$5:$A$2006,"&gt;="&amp;DATE(2026,G$5,1),'3. 5기 수입지출장부'!$A$5:$A$2006,"&lt;"&amp;DATE(2026,G$5+1,1),'3. 5기 수입지출장부'!$E$5:$E$2006,"&gt;0")&gt;0,"■","")</f>
        <v/>
      </c>
      <c r="H39" s="14" t="str">
        <f>IF(COUNTIFS('3. 5기 수입지출장부'!$C$5:$C$2006,$C38,'3. 5기 수입지출장부'!$A$5:$A$2006,"&gt;="&amp;DATE(2026,H$5,1),'3. 5기 수입지출장부'!$A$5:$A$2006,"&lt;"&amp;DATE(2026,H$5+1,1),'3. 5기 수입지출장부'!$E$5:$E$2006,"&gt;0")&gt;0,"■","")</f>
        <v/>
      </c>
      <c r="I39" s="14" t="str">
        <f>IF(COUNTIFS('3. 5기 수입지출장부'!$C$5:$C$2006,$C38,'3. 5기 수입지출장부'!$A$5:$A$2006,"&gt;="&amp;DATE(2026,I$5,1),'3. 5기 수입지출장부'!$A$5:$A$2006,"&lt;"&amp;DATE(2026,I$5+1,1),'3. 5기 수입지출장부'!$E$5:$E$2006,"&gt;0")&gt;0,"■","")</f>
        <v/>
      </c>
      <c r="J39" s="14" t="str">
        <f>IF(COUNTIFS('3. 5기 수입지출장부'!$C$5:$C$2006,$C38,'3. 5기 수입지출장부'!$A$5:$A$2006,"&gt;="&amp;DATE(2026,J$5,1),'3. 5기 수입지출장부'!$A$5:$A$2006,"&lt;"&amp;DATE(2026,J$5+1,1),'3. 5기 수입지출장부'!$E$5:$E$2006,"&gt;0")&gt;0,"■","")</f>
        <v/>
      </c>
      <c r="K39" s="14" t="str">
        <f>IF(COUNTIFS('3. 5기 수입지출장부'!$C$5:$C$2006,$C38,'3. 5기 수입지출장부'!$A$5:$A$2006,"&gt;="&amp;DATE(2026,K$5,1),'3. 5기 수입지출장부'!$A$5:$A$2006,"&lt;"&amp;DATE(2026,K$5+1,1),'3. 5기 수입지출장부'!$E$5:$E$2006,"&gt;0")&gt;0,"■","")</f>
        <v/>
      </c>
      <c r="L39" s="14" t="str">
        <f>IF(COUNTIFS('3. 5기 수입지출장부'!$C$5:$C$2006,$C38,'3. 5기 수입지출장부'!$A$5:$A$2006,"&gt;="&amp;DATE(2026,L$5,1),'3. 5기 수입지출장부'!$A$5:$A$2006,"&lt;"&amp;DATE(2026,L$5+1,1),'3. 5기 수입지출장부'!$E$5:$E$2006,"&gt;0")&gt;0,"■","")</f>
        <v/>
      </c>
      <c r="M39" s="14" t="str">
        <f>IF(COUNTIFS('3. 5기 수입지출장부'!$C$5:$C$2006,$C38,'3. 5기 수입지출장부'!$A$5:$A$2006,"&gt;="&amp;DATE(2026,M$5,1),'3. 5기 수입지출장부'!$A$5:$A$2006,"&lt;"&amp;DATE(2026,M$5+1,1),'3. 5기 수입지출장부'!$E$5:$E$2006,"&gt;0")&gt;0,"■","")</f>
        <v/>
      </c>
      <c r="N39" s="14" t="str">
        <f>IF(COUNTIFS('3. 5기 수입지출장부'!$C$5:$C$2006,$C38,'3. 5기 수입지출장부'!$A$5:$A$2006,"&gt;="&amp;DATE(2026,N$5,1),'3. 5기 수입지출장부'!$A$5:$A$2006,"&lt;"&amp;DATE(2026,N$5+1,1),'3. 5기 수입지출장부'!$E$5:$E$2006,"&gt;0")&gt;0,"■","")</f>
        <v/>
      </c>
      <c r="O39" s="14" t="str">
        <f>IF(COUNTIFS('3. 5기 수입지출장부'!$C$5:$C$2006,$C38,'3. 5기 수입지출장부'!$A$5:$A$2006,"&gt;="&amp;DATE(2026,O$5,1),'3. 5기 수입지출장부'!$A$5:$A$2006,"&lt;"&amp;DATE(2026,O$5+1,1),'3. 5기 수입지출장부'!$E$5:$E$2006,"&gt;0")&gt;0,"■","")</f>
        <v/>
      </c>
      <c r="P39" s="14" t="str">
        <f>IF(COUNTIFS('3. 5기 수입지출장부'!$C$5:$C$2006,$C38,'3. 5기 수입지출장부'!$A$5:$A$2006,"&gt;="&amp;DATE(2026,P$5,1),'3. 5기 수입지출장부'!$A$5:$A$2006,"&lt;"&amp;DATE(2026,P$5+1,1),'3. 5기 수입지출장부'!$E$5:$E$2006,"&gt;0")&gt;0,"■","")</f>
        <v/>
      </c>
      <c r="Q39" s="214">
        <f>'3. 5기 수입지출장부'!E212</f>
        <v>0</v>
      </c>
      <c r="R39" s="215"/>
      <c r="S39" s="191"/>
      <c r="T39" s="213"/>
      <c r="U39" s="3"/>
      <c r="V39" s="3"/>
      <c r="W39" s="3"/>
      <c r="X39" s="206"/>
      <c r="Y39" s="208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1"/>
      <c r="AN39" s="187"/>
      <c r="AO39" s="222"/>
      <c r="AP39" s="208"/>
    </row>
    <row r="40" spans="1:42" ht="24.75" customHeight="1">
      <c r="A40" s="3"/>
      <c r="B40" s="188">
        <v>18</v>
      </c>
      <c r="C40" s="184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8">
        <f>'2. 5기_예산목간'!D50</f>
        <v>400000</v>
      </c>
      <c r="R40" s="219"/>
      <c r="S40" s="209">
        <v>0</v>
      </c>
      <c r="T40" s="212" t="s">
        <v>292</v>
      </c>
      <c r="U40" s="3"/>
      <c r="V40" s="3"/>
      <c r="W40" s="3"/>
      <c r="X40" s="187"/>
      <c r="Y40" s="187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86"/>
      <c r="AN40" s="187"/>
      <c r="AO40" s="187"/>
      <c r="AP40" s="187"/>
    </row>
    <row r="41" spans="1:42" ht="24.75" customHeight="1">
      <c r="A41" s="3"/>
      <c r="B41" s="189"/>
      <c r="C41" s="185"/>
      <c r="D41" s="14" t="s">
        <v>280</v>
      </c>
      <c r="E41" s="14" t="str">
        <f>IF(COUNTIFS('3. 5기 수입지출장부'!$C$5:$C$2006,SUBSTITUTE($C40,", ",","),'3. 5기 수입지출장부'!$A$5:$A$2006,"&gt;="&amp;DATE(2026,E$5,1),'3. 5기 수입지출장부'!$A$5:$A$2006,"&lt;"&amp;DATE(2026,E$5+1,1),'3. 5기 수입지출장부'!$E$5:$E$2006,"&gt;0")&gt;0,"■","")</f>
        <v/>
      </c>
      <c r="F41" s="14" t="str">
        <f>IF(COUNTIFS('3. 5기 수입지출장부'!$C$5:$C$2006,SUBSTITUTE($C40,", ",","),'3. 5기 수입지출장부'!$A$5:$A$2006,"&gt;="&amp;DATE(2026,F$5,1),'3. 5기 수입지출장부'!$A$5:$A$2006,"&lt;"&amp;DATE(2026,F$5+1,1),'3. 5기 수입지출장부'!$E$5:$E$2006,"&gt;0")&gt;0,"■","")</f>
        <v/>
      </c>
      <c r="G41" s="14" t="str">
        <f>IF(COUNTIFS('3. 5기 수입지출장부'!$C$5:$C$2006,SUBSTITUTE($C40,", ",","),'3. 5기 수입지출장부'!$A$5:$A$2006,"&gt;="&amp;DATE(2026,G$5,1),'3. 5기 수입지출장부'!$A$5:$A$2006,"&lt;"&amp;DATE(2026,G$5+1,1),'3. 5기 수입지출장부'!$E$5:$E$2006,"&gt;0")&gt;0,"■","")</f>
        <v/>
      </c>
      <c r="H41" s="14" t="str">
        <f>IF(COUNTIFS('3. 5기 수입지출장부'!$C$5:$C$2006,SUBSTITUTE($C40,", ",","),'3. 5기 수입지출장부'!$A$5:$A$2006,"&gt;="&amp;DATE(2026,H$5,1),'3. 5기 수입지출장부'!$A$5:$A$2006,"&lt;"&amp;DATE(2026,H$5+1,1),'3. 5기 수입지출장부'!$E$5:$E$2006,"&gt;0")&gt;0,"■","")</f>
        <v/>
      </c>
      <c r="I41" s="14" t="str">
        <f>IF(COUNTIFS('3. 5기 수입지출장부'!$C$5:$C$2006,SUBSTITUTE($C40,", ",","),'3. 5기 수입지출장부'!$A$5:$A$2006,"&gt;="&amp;DATE(2026,I$5,1),'3. 5기 수입지출장부'!$A$5:$A$2006,"&lt;"&amp;DATE(2026,I$5+1,1),'3. 5기 수입지출장부'!$E$5:$E$2006,"&gt;0")&gt;0,"■","")</f>
        <v/>
      </c>
      <c r="J41" s="14" t="str">
        <f>IF(COUNTIFS('3. 5기 수입지출장부'!$C$5:$C$2006,SUBSTITUTE($C40,", ",","),'3. 5기 수입지출장부'!$A$5:$A$2006,"&gt;="&amp;DATE(2026,J$5,1),'3. 5기 수입지출장부'!$A$5:$A$2006,"&lt;"&amp;DATE(2026,J$5+1,1),'3. 5기 수입지출장부'!$E$5:$E$2006,"&gt;0")&gt;0,"■","")</f>
        <v/>
      </c>
      <c r="K41" s="14" t="str">
        <f>IF(COUNTIFS('3. 5기 수입지출장부'!$C$5:$C$2006,SUBSTITUTE($C40,", ",","),'3. 5기 수입지출장부'!$A$5:$A$2006,"&gt;="&amp;DATE(2026,K$5,1),'3. 5기 수입지출장부'!$A$5:$A$2006,"&lt;"&amp;DATE(2026,K$5+1,1),'3. 5기 수입지출장부'!$E$5:$E$2006,"&gt;0")&gt;0,"■","")</f>
        <v/>
      </c>
      <c r="L41" s="14" t="str">
        <f>IF(COUNTIFS('3. 5기 수입지출장부'!$C$5:$C$2006,SUBSTITUTE($C40,", ",","),'3. 5기 수입지출장부'!$A$5:$A$2006,"&gt;="&amp;DATE(2026,L$5,1),'3. 5기 수입지출장부'!$A$5:$A$2006,"&lt;"&amp;DATE(2026,L$5+1,1),'3. 5기 수입지출장부'!$E$5:$E$2006,"&gt;0")&gt;0,"■","")</f>
        <v/>
      </c>
      <c r="M41" s="14" t="str">
        <f>IF(COUNTIFS('3. 5기 수입지출장부'!$C$5:$C$2006,SUBSTITUTE($C40,", ",","),'3. 5기 수입지출장부'!$A$5:$A$2006,"&gt;="&amp;DATE(2026,M$5,1),'3. 5기 수입지출장부'!$A$5:$A$2006,"&lt;"&amp;DATE(2026,M$5+1,1),'3. 5기 수입지출장부'!$E$5:$E$2006,"&gt;0")&gt;0,"■","")</f>
        <v/>
      </c>
      <c r="N41" s="14" t="str">
        <f>IF(COUNTIFS('3. 5기 수입지출장부'!$C$5:$C$2006,SUBSTITUTE($C40,", ",","),'3. 5기 수입지출장부'!$A$5:$A$2006,"&gt;="&amp;DATE(2026,N$5,1),'3. 5기 수입지출장부'!$A$5:$A$2006,"&lt;"&amp;DATE(2026,N$5+1,1),'3. 5기 수입지출장부'!$E$5:$E$2006,"&gt;0")&gt;0,"■","")</f>
        <v/>
      </c>
      <c r="O41" s="14" t="str">
        <f>IF(COUNTIFS('3. 5기 수입지출장부'!$C$5:$C$2006,SUBSTITUTE($C40,", ",","),'3. 5기 수입지출장부'!$A$5:$A$2006,"&gt;="&amp;DATE(2026,O$5,1),'3. 5기 수입지출장부'!$A$5:$A$2006,"&lt;"&amp;DATE(2026,O$5+1,1),'3. 5기 수입지출장부'!$E$5:$E$2006,"&gt;0")&gt;0,"■","")</f>
        <v/>
      </c>
      <c r="P41" s="14" t="str">
        <f>IF(COUNTIFS('3. 5기 수입지출장부'!$C$5:$C$2006,SUBSTITUTE($C40,", ",","),'3. 5기 수입지출장부'!$A$5:$A$2006,"&gt;="&amp;DATE(2026,P$5,1),'3. 5기 수입지출장부'!$A$5:$A$2006,"&lt;"&amp;DATE(2026,P$5+1,1),'3. 5기 수입지출장부'!$E$5:$E$2006,"&gt;0")&gt;0,"■","")</f>
        <v/>
      </c>
      <c r="Q41" s="214">
        <f>'3. 5기 수입지출장부'!E213</f>
        <v>0</v>
      </c>
      <c r="R41" s="215"/>
      <c r="S41" s="191"/>
      <c r="T41" s="213"/>
      <c r="U41" s="3"/>
      <c r="V41" s="3"/>
      <c r="W41" s="3"/>
      <c r="X41" s="206"/>
      <c r="Y41" s="208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86"/>
      <c r="AN41" s="187"/>
      <c r="AO41" s="222"/>
      <c r="AP41" s="208"/>
    </row>
    <row r="42" spans="1:42" ht="24.75" customHeight="1">
      <c r="A42" s="3"/>
      <c r="B42" s="188">
        <f>B40+1</f>
        <v>19</v>
      </c>
      <c r="C42" s="184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8">
        <f>'2. 5기_예산목간'!D53</f>
        <v>0</v>
      </c>
      <c r="R42" s="219"/>
      <c r="S42" s="190" t="e">
        <f>Q43/Q42</f>
        <v>#DIV/0!</v>
      </c>
      <c r="T42" s="212" t="s">
        <v>283</v>
      </c>
      <c r="U42" s="3"/>
      <c r="V42" s="3"/>
      <c r="W42" s="3" t="s">
        <v>293</v>
      </c>
      <c r="X42" s="187"/>
      <c r="Y42" s="187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86"/>
      <c r="AN42" s="187"/>
      <c r="AO42" s="187"/>
      <c r="AP42" s="187"/>
    </row>
    <row r="43" spans="1:42" ht="24.75" customHeight="1">
      <c r="A43" s="3"/>
      <c r="B43" s="189"/>
      <c r="C43" s="185"/>
      <c r="D43" s="14" t="s">
        <v>280</v>
      </c>
      <c r="E43" s="9" t="str">
        <f>IF(COUNTIFS('3. 5기 수입지출장부'!$B$5:$B$2006,$C42,'3. 5기 수입지출장부'!$A$5:$A$2006,"&gt;="&amp;DATE(2026,E$5,1),'3. 5기 수입지출장부'!$A$5:$A$2006,"&lt;"&amp;DATE(2026,E$5+1,1),'3. 5기 수입지출장부'!$E$5:$E$2006,"&gt;0")&gt;0,"■","")</f>
        <v/>
      </c>
      <c r="F43" s="14" t="str">
        <f>IF(COUNTIFS('3. 5기 수입지출장부'!$B$5:$B$2006,$C42,'3. 5기 수입지출장부'!$A$5:$A$2006,"&gt;="&amp;DATE(2026,F$5,1),'3. 5기 수입지출장부'!$A$5:$A$2006,"&lt;"&amp;DATE(2026,F$5+1,1),'3. 5기 수입지출장부'!$E$5:$E$2006,"&gt;0")&gt;0,"■","")</f>
        <v>■</v>
      </c>
      <c r="G43" s="14" t="str">
        <f>IF(COUNTIFS('3. 5기 수입지출장부'!$B$5:$B$2006,$C42,'3. 5기 수입지출장부'!$A$5:$A$2006,"&gt;="&amp;DATE(2026,G$5,1),'3. 5기 수입지출장부'!$A$5:$A$2006,"&lt;"&amp;DATE(2026,G$5+1,1),'3. 5기 수입지출장부'!$E$5:$E$2006,"&gt;0")&gt;0,"■","")</f>
        <v/>
      </c>
      <c r="H43" s="14" t="str">
        <f>IF(COUNTIFS('3. 5기 수입지출장부'!$B$5:$B$2006,$C42,'3. 5기 수입지출장부'!$A$5:$A$2006,"&gt;="&amp;DATE(2026,H$5,1),'3. 5기 수입지출장부'!$A$5:$A$2006,"&lt;"&amp;DATE(2026,H$5+1,1),'3. 5기 수입지출장부'!$E$5:$E$2006,"&gt;0")&gt;0,"■","")</f>
        <v/>
      </c>
      <c r="I43" s="14" t="str">
        <f>IF(COUNTIFS('3. 5기 수입지출장부'!$B$5:$B$2006,$C42,'3. 5기 수입지출장부'!$A$5:$A$2006,"&gt;="&amp;DATE(2026,I$5,1),'3. 5기 수입지출장부'!$A$5:$A$2006,"&lt;"&amp;DATE(2026,I$5+1,1),'3. 5기 수입지출장부'!$E$5:$E$2006,"&gt;0")&gt;0,"■","")</f>
        <v/>
      </c>
      <c r="J43" s="14" t="str">
        <f>IF(COUNTIFS('3. 5기 수입지출장부'!$B$5:$B$2006,$C42,'3. 5기 수입지출장부'!$A$5:$A$2006,"&gt;="&amp;DATE(2026,J$5,1),'3. 5기 수입지출장부'!$A$5:$A$2006,"&lt;"&amp;DATE(2026,J$5+1,1),'3. 5기 수입지출장부'!$E$5:$E$2006,"&gt;0")&gt;0,"■","")</f>
        <v/>
      </c>
      <c r="K43" s="14" t="str">
        <f>IF(COUNTIFS('3. 5기 수입지출장부'!$B$5:$B$2006,$C42,'3. 5기 수입지출장부'!$A$5:$A$2006,"&gt;="&amp;DATE(2026,K$5,1),'3. 5기 수입지출장부'!$A$5:$A$2006,"&lt;"&amp;DATE(2026,K$5+1,1),'3. 5기 수입지출장부'!$E$5:$E$2006,"&gt;0")&gt;0,"■","")</f>
        <v/>
      </c>
      <c r="L43" s="14" t="str">
        <f>IF(COUNTIFS('3. 5기 수입지출장부'!$B$5:$B$2006,$C42,'3. 5기 수입지출장부'!$A$5:$A$2006,"&gt;="&amp;DATE(2026,L$5,1),'3. 5기 수입지출장부'!$A$5:$A$2006,"&lt;"&amp;DATE(2026,L$5+1,1),'3. 5기 수입지출장부'!$E$5:$E$2006,"&gt;0")&gt;0,"■","")</f>
        <v/>
      </c>
      <c r="M43" s="14" t="str">
        <f>IF(COUNTIFS('3. 5기 수입지출장부'!$B$5:$B$2006,$C42,'3. 5기 수입지출장부'!$A$5:$A$2006,"&gt;="&amp;DATE(2026,M$5,1),'3. 5기 수입지출장부'!$A$5:$A$2006,"&lt;"&amp;DATE(2026,M$5+1,1),'3. 5기 수입지출장부'!$E$5:$E$2006,"&gt;0")&gt;0,"■","")</f>
        <v/>
      </c>
      <c r="N43" s="14" t="str">
        <f>IF(COUNTIFS('3. 5기 수입지출장부'!$B$5:$B$2006,$C42,'3. 5기 수입지출장부'!$A$5:$A$2006,"&gt;="&amp;DATE(2026,N$5,1),'3. 5기 수입지출장부'!$A$5:$A$2006,"&lt;"&amp;DATE(2026,N$5+1,1),'3. 5기 수입지출장부'!$E$5:$E$2006,"&gt;0")&gt;0,"■","")</f>
        <v/>
      </c>
      <c r="O43" s="14" t="str">
        <f>IF(COUNTIFS('3. 5기 수입지출장부'!$B$5:$B$2006,$C42,'3. 5기 수입지출장부'!$A$5:$A$2006,"&gt;="&amp;DATE(2026,O$5,1),'3. 5기 수입지출장부'!$A$5:$A$2006,"&lt;"&amp;DATE(2026,O$5+1,1),'3. 5기 수입지출장부'!$E$5:$E$2006,"&gt;0")&gt;0,"■","")</f>
        <v/>
      </c>
      <c r="P43" s="14" t="str">
        <f>IF(COUNTIFS('3. 5기 수입지출장부'!$B$5:$B$2006,$C42,'3. 5기 수입지출장부'!$A$5:$A$2006,"&gt;="&amp;DATE(2026,P$5,1),'3. 5기 수입지출장부'!$A$5:$A$2006,"&lt;"&amp;DATE(2026,P$5+1,1),'3. 5기 수입지출장부'!$E$5:$E$2006,"&gt;0")&gt;0,"■","")</f>
        <v/>
      </c>
      <c r="Q43" s="214"/>
      <c r="R43" s="215"/>
      <c r="S43" s="191"/>
      <c r="T43" s="213"/>
      <c r="U43" s="3"/>
      <c r="V43" s="3"/>
      <c r="W43" s="3"/>
      <c r="X43" s="206"/>
      <c r="Y43" s="208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1"/>
      <c r="AN43" s="187"/>
      <c r="AO43" s="222"/>
      <c r="AP43" s="208"/>
    </row>
    <row r="44" spans="1:42" ht="24.75" customHeight="1">
      <c r="A44" s="3"/>
      <c r="B44" s="188">
        <v>20</v>
      </c>
      <c r="C44" s="184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8">
        <f>'2. 5기_예산목간'!D57</f>
        <v>5330291</v>
      </c>
      <c r="R44" s="219"/>
      <c r="S44" s="190">
        <f>Q45/Q44</f>
        <v>0</v>
      </c>
      <c r="T44" s="202" t="s">
        <v>283</v>
      </c>
      <c r="U44" s="3"/>
      <c r="V44" s="3"/>
      <c r="W44" s="3"/>
      <c r="X44" s="187"/>
      <c r="Y44" s="187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86"/>
      <c r="AN44" s="187"/>
      <c r="AO44" s="187"/>
      <c r="AP44" s="187"/>
    </row>
    <row r="45" spans="1:42" ht="24.75" customHeight="1">
      <c r="A45" s="3"/>
      <c r="B45" s="189"/>
      <c r="C45" s="185"/>
      <c r="D45" s="14" t="s">
        <v>280</v>
      </c>
      <c r="E45" s="14" t="str">
        <f>IF(COUNTIFS('3. 5기 수입지출장부'!$C$5:$C$2006,$C44,'3. 5기 수입지출장부'!$A$5:$A$2006,"&gt;="&amp;DATE(2026,E$5,1),'3. 5기 수입지출장부'!$A$5:$A$2006,"&lt;"&amp;DATE(2026,E$5+1,1),'3. 5기 수입지출장부'!$E$5:$E$2006,"&gt;0")&gt;0,"■","")</f>
        <v/>
      </c>
      <c r="F45" s="9" t="str">
        <f>IF(COUNTIFS('3. 5기 수입지출장부'!$C$5:$C$2006,$C44,'3. 5기 수입지출장부'!$A$5:$A$2006,"&gt;="&amp;DATE(2026,F$5,1),'3. 5기 수입지출장부'!$A$5:$A$2006,"&lt;"&amp;DATE(2026,F$5+1,1),'3. 5기 수입지출장부'!$E$5:$E$2006,"&gt;0")&gt;0,"■","")</f>
        <v/>
      </c>
      <c r="G45" s="9" t="str">
        <f>IF(COUNTIFS('3. 5기 수입지출장부'!$C$5:$C$2006,$C44,'3. 5기 수입지출장부'!$A$5:$A$2006,"&gt;="&amp;DATE(2026,G$5,1),'3. 5기 수입지출장부'!$A$5:$A$2006,"&lt;"&amp;DATE(2026,G$5+1,1),'3. 5기 수입지출장부'!$E$5:$E$2006,"&gt;0")&gt;0,"■","")</f>
        <v/>
      </c>
      <c r="H45" s="9" t="str">
        <f>IF(COUNTIFS('3. 5기 수입지출장부'!$C$5:$C$2006,$C44,'3. 5기 수입지출장부'!$A$5:$A$2006,"&gt;="&amp;DATE(2026,H$5,1),'3. 5기 수입지출장부'!$A$5:$A$2006,"&lt;"&amp;DATE(2026,H$5+1,1),'3. 5기 수입지출장부'!$E$5:$E$2006,"&gt;0")&gt;0,"■","")</f>
        <v/>
      </c>
      <c r="I45" s="9" t="str">
        <f>IF(COUNTIFS('3. 5기 수입지출장부'!$C$5:$C$2006,$C44,'3. 5기 수입지출장부'!$A$5:$A$2006,"&gt;="&amp;DATE(2026,I$5,1),'3. 5기 수입지출장부'!$A$5:$A$2006,"&lt;"&amp;DATE(2026,I$5+1,1),'3. 5기 수입지출장부'!$E$5:$E$2006,"&gt;0")&gt;0,"■","")</f>
        <v/>
      </c>
      <c r="J45" s="9" t="str">
        <f>IF(COUNTIFS('3. 5기 수입지출장부'!$C$5:$C$2006,$C44,'3. 5기 수입지출장부'!$A$5:$A$2006,"&gt;="&amp;DATE(2026,J$5,1),'3. 5기 수입지출장부'!$A$5:$A$2006,"&lt;"&amp;DATE(2026,J$5+1,1),'3. 5기 수입지출장부'!$E$5:$E$2006,"&gt;0")&gt;0,"■","")</f>
        <v/>
      </c>
      <c r="K45" s="9" t="str">
        <f>IF(COUNTIFS('3. 5기 수입지출장부'!$C$5:$C$2006,$C44,'3. 5기 수입지출장부'!$A$5:$A$2006,"&gt;="&amp;DATE(2026,K$5,1),'3. 5기 수입지출장부'!$A$5:$A$2006,"&lt;"&amp;DATE(2026,K$5+1,1),'3. 5기 수입지출장부'!$E$5:$E$2006,"&gt;0")&gt;0,"■","")</f>
        <v/>
      </c>
      <c r="L45" s="9" t="str">
        <f>IF(COUNTIFS('3. 5기 수입지출장부'!$C$5:$C$2006,$C44,'3. 5기 수입지출장부'!$A$5:$A$2006,"&gt;="&amp;DATE(2026,L$5,1),'3. 5기 수입지출장부'!$A$5:$A$2006,"&lt;"&amp;DATE(2026,L$5+1,1),'3. 5기 수입지출장부'!$E$5:$E$2006,"&gt;0")&gt;0,"■","")</f>
        <v/>
      </c>
      <c r="M45" s="9" t="str">
        <f>IF(COUNTIFS('3. 5기 수입지출장부'!$C$5:$C$2006,$C44,'3. 5기 수입지출장부'!$A$5:$A$2006,"&gt;="&amp;DATE(2026,M$5,1),'3. 5기 수입지출장부'!$A$5:$A$2006,"&lt;"&amp;DATE(2026,M$5+1,1),'3. 5기 수입지출장부'!$E$5:$E$2006,"&gt;0")&gt;0,"■","")</f>
        <v/>
      </c>
      <c r="N45" s="9" t="str">
        <f>IF(COUNTIFS('3. 5기 수입지출장부'!$C$5:$C$2006,$C44,'3. 5기 수입지출장부'!$A$5:$A$2006,"&gt;="&amp;DATE(2026,N$5,1),'3. 5기 수입지출장부'!$A$5:$A$2006,"&lt;"&amp;DATE(2026,N$5+1,1),'3. 5기 수입지출장부'!$E$5:$E$2006,"&gt;0")&gt;0,"■","")</f>
        <v/>
      </c>
      <c r="O45" s="9" t="str">
        <f>IF(COUNTIFS('3. 5기 수입지출장부'!$C$5:$C$2006,$C44,'3. 5기 수입지출장부'!$A$5:$A$2006,"&gt;="&amp;DATE(2026,O$5,1),'3. 5기 수입지출장부'!$A$5:$A$2006,"&lt;"&amp;DATE(2026,O$5+1,1),'3. 5기 수입지출장부'!$E$5:$E$2006,"&gt;0")&gt;0,"■","")</f>
        <v/>
      </c>
      <c r="P45" s="9" t="str">
        <f>IF(COUNTIFS('3. 5기 수입지출장부'!$C$5:$C$2006,$C44,'3. 5기 수입지출장부'!$A$5:$A$2006,"&gt;="&amp;DATE(2026,P$5,1),'3. 5기 수입지출장부'!$A$5:$A$2006,"&lt;"&amp;DATE(2026,P$5+1,1),'3. 5기 수입지출장부'!$E$5:$E$2006,"&gt;0")&gt;0,"■","")</f>
        <v/>
      </c>
      <c r="Q45" s="182">
        <v>0</v>
      </c>
      <c r="R45" s="183"/>
      <c r="S45" s="191"/>
      <c r="T45" s="191"/>
      <c r="U45" s="3"/>
      <c r="V45" s="3"/>
      <c r="W45" s="13"/>
      <c r="X45" s="206"/>
      <c r="Y45" s="208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1"/>
      <c r="AN45" s="187"/>
      <c r="AO45" s="222"/>
      <c r="AP45" s="208"/>
    </row>
    <row r="46" spans="1:42" ht="24.75" customHeight="1">
      <c r="A46" s="3"/>
      <c r="B46" s="192">
        <v>21</v>
      </c>
      <c r="C46" s="184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8">
        <f>'2. 5기_예산목간'!D55</f>
        <v>10000000</v>
      </c>
      <c r="R46" s="219"/>
      <c r="S46" s="190">
        <v>0</v>
      </c>
      <c r="T46" s="202" t="s">
        <v>283</v>
      </c>
      <c r="U46" s="3"/>
      <c r="V46" s="3"/>
      <c r="W46" s="3"/>
      <c r="X46" s="187"/>
      <c r="Y46" s="187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86"/>
      <c r="AN46" s="187"/>
      <c r="AO46" s="187"/>
      <c r="AP46" s="187"/>
    </row>
    <row r="47" spans="1:42" ht="24.75" customHeight="1">
      <c r="A47" s="3"/>
      <c r="B47" s="189"/>
      <c r="C47" s="185"/>
      <c r="D47" s="14" t="s">
        <v>280</v>
      </c>
      <c r="E47" s="14" t="str">
        <f>IF(COUNTIFS('3. 5기 수입지출장부'!$C$5:$C$2006,$C46,'3. 5기 수입지출장부'!$A$5:$A$2006,"&gt;="&amp;DATE(2026,E$5,1),'3. 5기 수입지출장부'!$A$5:$A$2006,"&lt;"&amp;DATE(2026,E$5+1,1),'3. 5기 수입지출장부'!$E$5:$E$2006,"&gt;0")&gt;0,"■","")</f>
        <v/>
      </c>
      <c r="F47" s="5" t="str">
        <f>IF(COUNTIFS('3. 5기 수입지출장부'!$C$5:$C$2006,$C46,'3. 5기 수입지출장부'!$A$5:$A$2006,"&gt;="&amp;DATE(2026,F$5,1),'3. 5기 수입지출장부'!$A$5:$A$2006,"&lt;"&amp;DATE(2026,F$5+1,1),'3. 5기 수입지출장부'!$E$5:$E$2006,"&gt;0")&gt;0,"■","")</f>
        <v/>
      </c>
      <c r="G47" s="5" t="str">
        <f>IF(COUNTIFS('3. 5기 수입지출장부'!$C$5:$C$2006,$C46,'3. 5기 수입지출장부'!$A$5:$A$2006,"&gt;="&amp;DATE(2026,G$5,1),'3. 5기 수입지출장부'!$A$5:$A$2006,"&lt;"&amp;DATE(2026,G$5+1,1),'3. 5기 수입지출장부'!$E$5:$E$2006,"&gt;0")&gt;0,"■","")</f>
        <v/>
      </c>
      <c r="H47" s="14" t="str">
        <f>IF(COUNTIFS('3. 5기 수입지출장부'!$C$5:$C$2006,$C46,'3. 5기 수입지출장부'!$A$5:$A$2006,"&gt;="&amp;DATE(2026,H$5,1),'3. 5기 수입지출장부'!$A$5:$A$2006,"&lt;"&amp;DATE(2026,H$5+1,1),'3. 5기 수입지출장부'!$E$5:$E$2006,"&gt;0")&gt;0,"■","")</f>
        <v/>
      </c>
      <c r="I47" s="14" t="str">
        <f>IF(COUNTIFS('3. 5기 수입지출장부'!$C$5:$C$2006,$C46,'3. 5기 수입지출장부'!$A$5:$A$2006,"&gt;="&amp;DATE(2026,I$5,1),'3. 5기 수입지출장부'!$A$5:$A$2006,"&lt;"&amp;DATE(2026,I$5+1,1),'3. 5기 수입지출장부'!$E$5:$E$2006,"&gt;0")&gt;0,"■","")</f>
        <v/>
      </c>
      <c r="J47" s="5" t="str">
        <f>IF(COUNTIFS('3. 5기 수입지출장부'!$C$5:$C$2006,$C46,'3. 5기 수입지출장부'!$A$5:$A$2006,"&gt;="&amp;DATE(2026,J$5,1),'3. 5기 수입지출장부'!$A$5:$A$2006,"&lt;"&amp;DATE(2026,J$5+1,1),'3. 5기 수입지출장부'!$E$5:$E$2006,"&gt;0")&gt;0,"■","")</f>
        <v/>
      </c>
      <c r="K47" s="5" t="str">
        <f>IF(COUNTIFS('3. 5기 수입지출장부'!$C$5:$C$2006,$C46,'3. 5기 수입지출장부'!$A$5:$A$2006,"&gt;="&amp;DATE(2026,K$5,1),'3. 5기 수입지출장부'!$A$5:$A$2006,"&lt;"&amp;DATE(2026,K$5+1,1),'3. 5기 수입지출장부'!$E$5:$E$2006,"&gt;0")&gt;0,"■","")</f>
        <v/>
      </c>
      <c r="L47" s="5" t="str">
        <f>IF(COUNTIFS('3. 5기 수입지출장부'!$C$5:$C$2006,$C46,'3. 5기 수입지출장부'!$A$5:$A$2006,"&gt;="&amp;DATE(2026,L$5,1),'3. 5기 수입지출장부'!$A$5:$A$2006,"&lt;"&amp;DATE(2026,L$5+1,1),'3. 5기 수입지출장부'!$E$5:$E$2006,"&gt;0")&gt;0,"■","")</f>
        <v/>
      </c>
      <c r="M47" s="5" t="str">
        <f>IF(COUNTIFS('3. 5기 수입지출장부'!$C$5:$C$2006,$C46,'3. 5기 수입지출장부'!$A$5:$A$2006,"&gt;="&amp;DATE(2026,M$5,1),'3. 5기 수입지출장부'!$A$5:$A$2006,"&lt;"&amp;DATE(2026,M$5+1,1),'3. 5기 수입지출장부'!$E$5:$E$2006,"&gt;0")&gt;0,"■","")</f>
        <v/>
      </c>
      <c r="N47" s="5" t="str">
        <f>IF(COUNTIFS('3. 5기 수입지출장부'!$C$5:$C$2006,$C46,'3. 5기 수입지출장부'!$A$5:$A$2006,"&gt;="&amp;DATE(2026,N$5,1),'3. 5기 수입지출장부'!$A$5:$A$2006,"&lt;"&amp;DATE(2026,N$5+1,1),'3. 5기 수입지출장부'!$E$5:$E$2006,"&gt;0")&gt;0,"■","")</f>
        <v/>
      </c>
      <c r="O47" s="14" t="str">
        <f>IF(COUNTIFS('3. 5기 수입지출장부'!$C$5:$C$2006,$C46,'3. 5기 수입지출장부'!$A$5:$A$2006,"&gt;="&amp;DATE(2026,O$5,1),'3. 5기 수입지출장부'!$A$5:$A$2006,"&lt;"&amp;DATE(2026,O$5+1,1),'3. 5기 수입지출장부'!$E$5:$E$2006,"&gt;0")&gt;0,"■","")</f>
        <v/>
      </c>
      <c r="P47" s="14" t="str">
        <f>IF(COUNTIFS('3. 5기 수입지출장부'!$C$5:$C$2006,$C46,'3. 5기 수입지출장부'!$A$5:$A$2006,"&gt;="&amp;DATE(2026,P$5,1),'3. 5기 수입지출장부'!$A$5:$A$2006,"&lt;"&amp;DATE(2026,P$5+1,1),'3. 5기 수입지출장부'!$E$5:$E$2006,"&gt;0")&gt;0,"■","")</f>
        <v/>
      </c>
      <c r="Q47" s="239"/>
      <c r="R47" s="240"/>
      <c r="S47" s="191"/>
      <c r="T47" s="191"/>
      <c r="U47" s="3"/>
      <c r="V47" s="13"/>
      <c r="W47" s="3"/>
      <c r="X47" s="206"/>
      <c r="Y47" s="208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201"/>
      <c r="AN47" s="187"/>
      <c r="AO47" s="222"/>
      <c r="AP47" s="208"/>
    </row>
    <row r="48" spans="1:42" ht="27" customHeight="1">
      <c r="A48" s="3"/>
      <c r="B48" s="226" t="s">
        <v>294</v>
      </c>
      <c r="C48" s="227"/>
      <c r="D48" s="231" t="s">
        <v>295</v>
      </c>
      <c r="E48" s="232"/>
      <c r="F48" s="232"/>
      <c r="G48" s="232"/>
      <c r="H48" s="232"/>
      <c r="I48" s="232"/>
      <c r="J48" s="232"/>
      <c r="K48" s="232"/>
      <c r="L48" s="232"/>
      <c r="M48" s="232"/>
      <c r="N48" s="232"/>
      <c r="O48" s="232"/>
      <c r="P48" s="233"/>
      <c r="Q48" s="241">
        <f>SUM(Q6,Q8,Q10,Q12,Q14,Q16,Q18,Q20,Q22,Q24,Q26,Q28,Q30,Q32,Q34,Q36,Q38,Q40,Q42,Q44,Q46)</f>
        <v>43098091</v>
      </c>
      <c r="R48" s="233"/>
      <c r="S48" s="216">
        <f>Q49/Q48</f>
        <v>0.18459193471005478</v>
      </c>
      <c r="T48" s="230"/>
      <c r="U48" s="3"/>
      <c r="V48" s="13"/>
      <c r="W48" s="13"/>
      <c r="X48" s="187"/>
      <c r="Y48" s="187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86"/>
      <c r="AN48" s="187"/>
      <c r="AO48" s="187"/>
      <c r="AP48" s="187"/>
    </row>
    <row r="49" spans="1:42" ht="27" customHeight="1">
      <c r="A49" s="3"/>
      <c r="B49" s="228"/>
      <c r="C49" s="229"/>
      <c r="D49" s="234" t="s">
        <v>296</v>
      </c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21"/>
      <c r="Q49" s="220">
        <f>SUM(Q7,Q9,Q11,Q15,Q17,Q19,Q21,Q23,Q25,Q27,Q29,Q31,Q33,Q35,Q37,Q39,Q41,Q43,Q45,Q47)</f>
        <v>7955560</v>
      </c>
      <c r="R49" s="221"/>
      <c r="S49" s="217"/>
      <c r="T49" s="217"/>
      <c r="U49" s="3"/>
      <c r="V49" s="3"/>
      <c r="W49" s="13"/>
      <c r="X49" s="206"/>
      <c r="Y49" s="208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201"/>
      <c r="AN49" s="187"/>
      <c r="AO49" s="222"/>
      <c r="AP49" s="208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7"/>
      <c r="Y50" s="187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86"/>
      <c r="AN50" s="187"/>
      <c r="AO50" s="187"/>
      <c r="AP50" s="187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06"/>
      <c r="Y51" s="208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201"/>
      <c r="AN51" s="187"/>
      <c r="AO51" s="222"/>
      <c r="AP51" s="208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7"/>
      <c r="Y52" s="187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86"/>
      <c r="AN52" s="187"/>
      <c r="AO52" s="187"/>
      <c r="AP52" s="187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206"/>
      <c r="Y53" s="208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201"/>
      <c r="AN53" s="187"/>
      <c r="AO53" s="222"/>
      <c r="AP53" s="208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7"/>
      <c r="Y54" s="187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86"/>
      <c r="AN54" s="187"/>
      <c r="AO54" s="187"/>
      <c r="AP54" s="187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206"/>
      <c r="Y55" s="208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86"/>
      <c r="AN55" s="187"/>
      <c r="AO55" s="222"/>
      <c r="AP55" s="208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7"/>
      <c r="Y56" s="187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86"/>
      <c r="AN56" s="187"/>
      <c r="AO56" s="187"/>
      <c r="AP56" s="187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8"/>
      <c r="Y57" s="187"/>
      <c r="Z57" s="208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201"/>
      <c r="AN57" s="187"/>
      <c r="AO57" s="222"/>
      <c r="AP57" s="208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7"/>
      <c r="Y58" s="187"/>
      <c r="Z58" s="208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6"/>
      <c r="AN58" s="187"/>
      <c r="AO58" s="187"/>
      <c r="AP58" s="187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54" t="s">
        <v>298</v>
      </c>
      <c r="B5" s="258"/>
      <c r="C5" s="256"/>
      <c r="D5" s="254" t="s">
        <v>299</v>
      </c>
      <c r="E5" s="256"/>
      <c r="F5" s="254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85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2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60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60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60"/>
      <c r="B10" s="264" t="s">
        <v>311</v>
      </c>
      <c r="C10" s="256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60"/>
      <c r="B11" s="259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60"/>
      <c r="B12" s="260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60"/>
      <c r="B13" s="260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60"/>
      <c r="B14" s="185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60"/>
      <c r="B15" s="259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85"/>
      <c r="B16" s="185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5" t="s">
        <v>315</v>
      </c>
      <c r="B17" s="258"/>
      <c r="C17" s="256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54" t="s">
        <v>298</v>
      </c>
      <c r="B21" s="258"/>
      <c r="C21" s="256"/>
      <c r="D21" s="257" t="s">
        <v>317</v>
      </c>
      <c r="E21" s="256"/>
      <c r="F21" s="254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85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1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85"/>
      <c r="B24" s="255" t="s">
        <v>319</v>
      </c>
      <c r="C24" s="256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1" t="s">
        <v>265</v>
      </c>
      <c r="B25" s="259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60"/>
      <c r="B26" s="185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60"/>
      <c r="B27" s="259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60"/>
      <c r="B28" s="260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60"/>
      <c r="B29" s="260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65"/>
      <c r="H29" s="187"/>
      <c r="I29" s="187"/>
      <c r="J29" s="187"/>
      <c r="K29" s="187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60"/>
      <c r="B30" s="260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65"/>
      <c r="H30" s="187"/>
      <c r="I30" s="187"/>
      <c r="J30" s="187"/>
      <c r="K30" s="187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60"/>
      <c r="B31" s="260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60"/>
      <c r="B32" s="260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60"/>
      <c r="B33" s="185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60"/>
      <c r="B34" s="259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85"/>
      <c r="B35" s="185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5" t="s">
        <v>326</v>
      </c>
      <c r="B36" s="258"/>
      <c r="C36" s="256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1" t="s">
        <v>269</v>
      </c>
      <c r="B37" s="259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60"/>
      <c r="B38" s="185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60"/>
      <c r="B39" s="259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60"/>
      <c r="B40" s="260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60"/>
      <c r="B41" s="260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60"/>
      <c r="B42" s="260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60"/>
      <c r="B43" s="260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60"/>
      <c r="B44" s="185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60"/>
      <c r="B45" s="259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60"/>
      <c r="B46" s="185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60"/>
      <c r="B47" s="259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60"/>
      <c r="B48" s="185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60"/>
      <c r="B49" s="259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60"/>
      <c r="B50" s="260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85"/>
      <c r="B51" s="185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5" t="s">
        <v>337</v>
      </c>
      <c r="B52" s="258"/>
      <c r="C52" s="256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5" t="s">
        <v>338</v>
      </c>
      <c r="B54" s="258"/>
      <c r="C54" s="256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5" t="s">
        <v>340</v>
      </c>
      <c r="C56" s="256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5" t="s">
        <v>339</v>
      </c>
      <c r="B58" s="258"/>
      <c r="C58" s="256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3" t="s">
        <v>341</v>
      </c>
      <c r="B59" s="258"/>
      <c r="C59" s="256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B10:C10"/>
    <mergeCell ref="A23:A24"/>
    <mergeCell ref="G29:K29"/>
    <mergeCell ref="B25:B26"/>
    <mergeCell ref="B27:B33"/>
    <mergeCell ref="G30:K30"/>
    <mergeCell ref="A25:A35"/>
    <mergeCell ref="A59:C59"/>
    <mergeCell ref="B45:B46"/>
    <mergeCell ref="B24:C24"/>
    <mergeCell ref="A36:C36"/>
    <mergeCell ref="A58:C58"/>
    <mergeCell ref="A54:C54"/>
    <mergeCell ref="B49:B51"/>
    <mergeCell ref="B47:B48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4"/>
  <sheetViews>
    <sheetView tabSelected="1" topLeftCell="A142" workbookViewId="0">
      <selection activeCell="E164" sqref="E164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9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</row>
    <row r="2" spans="1:14" ht="16.5" customHeight="1">
      <c r="A2" s="187"/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8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7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7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7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7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7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7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7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7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7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7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7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7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7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7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7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7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7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7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7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7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6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7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7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26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26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26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26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26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26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26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26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26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26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26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26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26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26" s="177" customFormat="1" ht="16.5" customHeight="1">
      <c r="A158" s="138">
        <v>46287</v>
      </c>
      <c r="B158" s="79" t="s">
        <v>48</v>
      </c>
      <c r="C158" s="139" t="s">
        <v>59</v>
      </c>
      <c r="D158" s="86"/>
      <c r="E158" s="86">
        <v>19400</v>
      </c>
      <c r="F158" s="86"/>
      <c r="G158" s="82">
        <f>G157+Table_1[[#This Row],[수입]]-Table_1[[#This Row],[지출]]</f>
        <v>30475491</v>
      </c>
      <c r="H158" s="87" t="s">
        <v>399</v>
      </c>
      <c r="I158" s="138">
        <v>46287</v>
      </c>
      <c r="J158" s="139" t="s">
        <v>23</v>
      </c>
      <c r="K158" s="139" t="s">
        <v>24</v>
      </c>
      <c r="L158" s="88"/>
      <c r="M158" s="89"/>
      <c r="N158" s="171"/>
      <c r="O158" s="175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 ht="16.5" customHeight="1">
      <c r="A159" s="138">
        <v>46294</v>
      </c>
      <c r="B159" s="79" t="s">
        <v>48</v>
      </c>
      <c r="C159" s="139" t="s">
        <v>59</v>
      </c>
      <c r="D159" s="86"/>
      <c r="E159" s="86">
        <v>24500</v>
      </c>
      <c r="F159" s="86"/>
      <c r="G159" s="82">
        <f>G158+Table_1[[#This Row],[수입]]-Table_1[[#This Row],[지출]]</f>
        <v>30450991</v>
      </c>
      <c r="H159" s="87" t="s">
        <v>408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26" ht="16.5" customHeight="1">
      <c r="A160" s="138">
        <v>46294</v>
      </c>
      <c r="B160" s="79" t="s">
        <v>48</v>
      </c>
      <c r="C160" s="139" t="s">
        <v>59</v>
      </c>
      <c r="D160" s="86"/>
      <c r="E160" s="86">
        <v>14100</v>
      </c>
      <c r="F160" s="86"/>
      <c r="G160" s="82">
        <f>G159+Table_1[[#This Row],[수입]]-Table_1[[#This Row],[지출]]</f>
        <v>30436891</v>
      </c>
      <c r="H160" s="87" t="s">
        <v>409</v>
      </c>
      <c r="I160" s="138">
        <v>46294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26" s="177" customFormat="1" ht="16.5" customHeight="1">
      <c r="A161" s="138">
        <v>46294</v>
      </c>
      <c r="B161" s="79" t="s">
        <v>48</v>
      </c>
      <c r="C161" s="139" t="s">
        <v>59</v>
      </c>
      <c r="D161" s="86"/>
      <c r="E161" s="86">
        <v>17600</v>
      </c>
      <c r="F161" s="86"/>
      <c r="G161" s="82">
        <f>G160+Table_1[[#This Row],[수입]]-Table_1[[#This Row],[지출]]</f>
        <v>30419291</v>
      </c>
      <c r="H161" s="174" t="s">
        <v>407</v>
      </c>
      <c r="I161" s="138">
        <v>46294</v>
      </c>
      <c r="J161" s="139" t="s">
        <v>23</v>
      </c>
      <c r="K161" s="139" t="s">
        <v>24</v>
      </c>
      <c r="L161" s="88"/>
      <c r="M161" s="89"/>
      <c r="N161" s="171"/>
      <c r="O161" s="175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 ht="16.5" customHeight="1">
      <c r="A162" s="138">
        <v>46295</v>
      </c>
      <c r="B162" s="79" t="s">
        <v>4</v>
      </c>
      <c r="C162" s="79" t="s">
        <v>17</v>
      </c>
      <c r="D162" s="86">
        <v>1880000</v>
      </c>
      <c r="E162" s="86"/>
      <c r="F162" s="86"/>
      <c r="G162" s="82">
        <f>G161+Table_1[[#This Row],[수입]]-Table_1[[#This Row],[지출]]</f>
        <v>32299291</v>
      </c>
      <c r="H162" s="149" t="s">
        <v>199</v>
      </c>
      <c r="I162" s="138">
        <v>46295</v>
      </c>
      <c r="J162" s="139" t="s">
        <v>41</v>
      </c>
      <c r="K162" s="139" t="s">
        <v>42</v>
      </c>
      <c r="L162" s="88"/>
      <c r="M162" s="89"/>
      <c r="N162" s="77"/>
      <c r="O162" s="94"/>
    </row>
    <row r="163" spans="1:26" ht="16.5" customHeight="1">
      <c r="A163" s="138">
        <v>46295</v>
      </c>
      <c r="B163" s="79" t="s">
        <v>48</v>
      </c>
      <c r="C163" s="139" t="s">
        <v>59</v>
      </c>
      <c r="D163" s="86"/>
      <c r="E163" s="86">
        <v>13200</v>
      </c>
      <c r="F163" s="86"/>
      <c r="G163" s="82">
        <f>G162+Table_1[[#This Row],[수입]]-Table_1[[#This Row],[지출]]</f>
        <v>32286091</v>
      </c>
      <c r="H163" s="87" t="s">
        <v>412</v>
      </c>
      <c r="I163" s="138">
        <v>46295</v>
      </c>
      <c r="J163" s="139" t="s">
        <v>37</v>
      </c>
      <c r="K163" s="139" t="s">
        <v>24</v>
      </c>
      <c r="L163" s="88"/>
      <c r="M163" s="89"/>
      <c r="N163" s="77"/>
      <c r="O163" s="94"/>
    </row>
    <row r="164" spans="1:26" ht="16.5" customHeight="1">
      <c r="A164" s="138">
        <v>46296</v>
      </c>
      <c r="B164" s="79" t="s">
        <v>48</v>
      </c>
      <c r="C164" s="139" t="s">
        <v>59</v>
      </c>
      <c r="D164" s="86"/>
      <c r="E164" s="86">
        <v>19800</v>
      </c>
      <c r="F164" s="86"/>
      <c r="G164" s="82">
        <f>G163+Table_1[[#This Row],[수입]]-Table_1[[#This Row],[지출]]</f>
        <v>32266291</v>
      </c>
      <c r="H164" s="87" t="s">
        <v>413</v>
      </c>
      <c r="I164" s="138">
        <v>46296</v>
      </c>
      <c r="J164" s="139" t="s">
        <v>41</v>
      </c>
      <c r="K164" s="139" t="s">
        <v>42</v>
      </c>
      <c r="L164" s="88"/>
      <c r="M164" s="89"/>
      <c r="N164" s="77"/>
      <c r="O164" s="94"/>
    </row>
    <row r="165" spans="1:26" ht="16.5" customHeight="1">
      <c r="A165" s="138">
        <v>46296</v>
      </c>
      <c r="B165" s="79" t="s">
        <v>48</v>
      </c>
      <c r="C165" s="139" t="s">
        <v>59</v>
      </c>
      <c r="D165" s="86"/>
      <c r="E165" s="86">
        <v>37500</v>
      </c>
      <c r="F165" s="86"/>
      <c r="G165" s="82">
        <f>G164+Table_1[[#This Row],[수입]]-Table_1[[#This Row],[지출]]</f>
        <v>32228791</v>
      </c>
      <c r="H165" s="174" t="s">
        <v>414</v>
      </c>
      <c r="I165" s="138">
        <v>46296</v>
      </c>
      <c r="J165" s="139" t="s">
        <v>41</v>
      </c>
      <c r="K165" s="139" t="s">
        <v>42</v>
      </c>
      <c r="L165" s="88"/>
      <c r="M165" s="89"/>
      <c r="N165" s="77"/>
      <c r="O165" s="94"/>
    </row>
    <row r="166" spans="1:26" ht="16.5" customHeight="1">
      <c r="A166" s="118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26" ht="16.5" customHeight="1">
      <c r="A167" s="118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26" ht="16.5" customHeight="1">
      <c r="A168" s="118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26" ht="16.5" customHeight="1">
      <c r="A169" s="118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26" ht="16.5" customHeight="1">
      <c r="A170" s="118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26" ht="16.5" customHeight="1">
      <c r="A171" s="118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26" ht="16.5" customHeight="1">
      <c r="A172" s="118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26" ht="16.5" customHeight="1">
      <c r="A173" s="118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26" ht="16.5" customHeight="1">
      <c r="A174" s="118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26" ht="16.5" customHeight="1">
      <c r="A175" s="118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  <c r="O175" s="94"/>
    </row>
    <row r="176" spans="1:26" ht="16.5" customHeight="1">
      <c r="A176" s="118"/>
      <c r="B176" s="79"/>
      <c r="C176" s="79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  <c r="O176" s="94"/>
    </row>
    <row r="177" spans="1:14" ht="16.5" customHeight="1">
      <c r="A177" s="85"/>
      <c r="B177" s="79"/>
      <c r="C177" s="79"/>
      <c r="D177" s="86"/>
      <c r="E177" s="86"/>
      <c r="F177" s="86"/>
      <c r="G177" s="82"/>
      <c r="H177" s="87"/>
      <c r="I177" s="88"/>
      <c r="J177" s="79"/>
      <c r="K177" s="79"/>
      <c r="L177" s="88"/>
      <c r="M177" s="89"/>
      <c r="N177" s="77"/>
    </row>
    <row r="178" spans="1:14" ht="16.5" customHeight="1">
      <c r="A178" s="85"/>
      <c r="B178" s="79"/>
      <c r="C178" s="80"/>
      <c r="D178" s="86"/>
      <c r="E178" s="86"/>
      <c r="F178" s="86"/>
      <c r="G178" s="82"/>
      <c r="H178" s="87"/>
      <c r="I178" s="88"/>
      <c r="J178" s="79"/>
      <c r="K178" s="79"/>
      <c r="L178" s="88"/>
      <c r="M178" s="89"/>
      <c r="N178" s="77"/>
    </row>
    <row r="179" spans="1:14" ht="16.5" customHeight="1">
      <c r="D179" s="75"/>
      <c r="E179" s="75"/>
      <c r="F179" s="75"/>
      <c r="G179" s="75"/>
      <c r="L179" s="76"/>
      <c r="N179" s="77"/>
    </row>
    <row r="180" spans="1:14" ht="16.5" customHeight="1">
      <c r="A180" s="178" t="s">
        <v>48</v>
      </c>
      <c r="B180" s="178" t="s">
        <v>219</v>
      </c>
      <c r="C180" s="178" t="s">
        <v>238</v>
      </c>
      <c r="D180" s="178" t="s">
        <v>222</v>
      </c>
      <c r="E180" s="178" t="s">
        <v>55</v>
      </c>
      <c r="F180" s="178" t="s">
        <v>239</v>
      </c>
      <c r="G180" s="178" t="s">
        <v>4</v>
      </c>
      <c r="H180" s="178" t="s">
        <v>19</v>
      </c>
      <c r="J180" s="120" t="s">
        <v>240</v>
      </c>
      <c r="K180" s="120" t="s">
        <v>241</v>
      </c>
      <c r="N180" s="77"/>
    </row>
    <row r="181" spans="1:14" ht="16.5" customHeight="1">
      <c r="A181" s="95" t="s">
        <v>49</v>
      </c>
      <c r="B181" s="95" t="s">
        <v>242</v>
      </c>
      <c r="C181" s="95" t="s">
        <v>243</v>
      </c>
      <c r="D181" s="95" t="s">
        <v>223</v>
      </c>
      <c r="E181" s="95" t="s">
        <v>244</v>
      </c>
      <c r="F181" s="95" t="s">
        <v>245</v>
      </c>
      <c r="G181" s="95" t="s">
        <v>17</v>
      </c>
      <c r="H181" s="95" t="s">
        <v>20</v>
      </c>
      <c r="K181" s="120" t="s">
        <v>246</v>
      </c>
      <c r="N181" s="77"/>
    </row>
    <row r="182" spans="1:14" ht="16.5" customHeight="1">
      <c r="A182" s="95" t="s">
        <v>247</v>
      </c>
      <c r="B182" s="95" t="s">
        <v>220</v>
      </c>
      <c r="C182" s="95" t="s">
        <v>248</v>
      </c>
      <c r="D182" s="95" t="s">
        <v>249</v>
      </c>
      <c r="E182" s="95" t="s">
        <v>56</v>
      </c>
      <c r="F182" s="95" t="s">
        <v>250</v>
      </c>
      <c r="G182" s="95" t="s">
        <v>251</v>
      </c>
      <c r="H182" s="95" t="s">
        <v>49</v>
      </c>
      <c r="N182" s="77"/>
    </row>
    <row r="183" spans="1:14" ht="16.5" customHeight="1">
      <c r="A183" s="95" t="s">
        <v>104</v>
      </c>
      <c r="B183" s="95" t="s">
        <v>252</v>
      </c>
      <c r="E183" s="95" t="s">
        <v>253</v>
      </c>
      <c r="F183" s="95" t="s">
        <v>254</v>
      </c>
      <c r="G183" s="95" t="s">
        <v>15</v>
      </c>
      <c r="H183" s="95" t="s">
        <v>59</v>
      </c>
      <c r="N183" s="77"/>
    </row>
    <row r="184" spans="1:14" ht="16.5" customHeight="1">
      <c r="A184" s="95" t="s">
        <v>255</v>
      </c>
      <c r="E184" s="95" t="s">
        <v>256</v>
      </c>
      <c r="G184" s="95" t="s">
        <v>234</v>
      </c>
      <c r="N184" s="77"/>
    </row>
    <row r="185" spans="1:14" ht="16.5" customHeight="1">
      <c r="A185" s="95" t="s">
        <v>257</v>
      </c>
      <c r="D185" s="76"/>
      <c r="G185" s="95" t="s">
        <v>258</v>
      </c>
      <c r="N185" s="77"/>
    </row>
    <row r="186" spans="1:14" ht="16.5" customHeight="1">
      <c r="A186" s="95" t="s">
        <v>59</v>
      </c>
      <c r="D186" s="76"/>
      <c r="G186" s="95" t="s">
        <v>162</v>
      </c>
      <c r="N186" s="77"/>
    </row>
    <row r="187" spans="1:14" ht="16.5" customHeight="1">
      <c r="A187" s="95" t="s">
        <v>259</v>
      </c>
      <c r="D187" s="76"/>
      <c r="G187" s="95" t="s">
        <v>260</v>
      </c>
      <c r="N187" s="77"/>
    </row>
    <row r="188" spans="1:14" ht="16.5" customHeight="1">
      <c r="A188" s="95" t="s">
        <v>261</v>
      </c>
      <c r="D188" s="76"/>
      <c r="N188" s="77"/>
    </row>
    <row r="189" spans="1:14" ht="16.5" customHeight="1">
      <c r="A189" s="95" t="s">
        <v>262</v>
      </c>
      <c r="D189" s="76"/>
      <c r="N189" s="77"/>
    </row>
    <row r="190" spans="1:14" ht="16.5" customHeight="1">
      <c r="A190" s="95" t="s">
        <v>260</v>
      </c>
      <c r="D190" s="76"/>
      <c r="N190" s="77"/>
    </row>
    <row r="191" spans="1:14" ht="16.5" customHeight="1">
      <c r="A191" s="95" t="s">
        <v>263</v>
      </c>
      <c r="D191" s="76"/>
      <c r="N191" s="77"/>
    </row>
    <row r="192" spans="1:14" ht="16.5" customHeight="1">
      <c r="A192" s="95" t="s">
        <v>19</v>
      </c>
      <c r="D192" s="76"/>
      <c r="N192" s="77"/>
    </row>
    <row r="193" spans="1:14" ht="16.5" customHeight="1">
      <c r="D193" s="75"/>
      <c r="E193" s="75"/>
      <c r="F193" s="75"/>
      <c r="G193" s="75"/>
      <c r="L193" s="76"/>
      <c r="N193" s="77"/>
    </row>
    <row r="194" spans="1:14" ht="16.5" customHeight="1">
      <c r="D194" s="75"/>
      <c r="E194" s="96" t="s">
        <v>264</v>
      </c>
      <c r="F194" s="96"/>
      <c r="G194" s="96" t="s">
        <v>7</v>
      </c>
      <c r="L194" s="76"/>
      <c r="N194" s="77"/>
    </row>
    <row r="195" spans="1:14" ht="16.5" customHeight="1">
      <c r="A195" s="68" t="s">
        <v>49</v>
      </c>
      <c r="B195" s="34" t="s">
        <v>49</v>
      </c>
      <c r="C195" s="35" t="s">
        <v>49</v>
      </c>
      <c r="D195" s="59">
        <v>3300000</v>
      </c>
      <c r="E195" s="75">
        <f>SUMIF(Table_1[내용 및 목적],"경조금",Table_1[지출])</f>
        <v>800000</v>
      </c>
      <c r="F195" s="267">
        <f t="shared" ref="F195:F213" si="0">D195-E195</f>
        <v>2500000</v>
      </c>
      <c r="G195" s="187"/>
      <c r="L195" s="76"/>
      <c r="N195" s="77"/>
    </row>
    <row r="196" spans="1:14" ht="16.5" customHeight="1">
      <c r="A196" s="261" t="s">
        <v>265</v>
      </c>
      <c r="B196" s="34" t="s">
        <v>266</v>
      </c>
      <c r="C196" s="35" t="s">
        <v>247</v>
      </c>
      <c r="D196" s="59">
        <f>214200*3*3</f>
        <v>1927800</v>
      </c>
      <c r="E196" s="75">
        <f>SUMIF(Table_1[내용 및 목적],"국내여비",Table_1[지출])</f>
        <v>0</v>
      </c>
      <c r="F196" s="267">
        <f t="shared" si="0"/>
        <v>1927800</v>
      </c>
      <c r="G196" s="187"/>
      <c r="L196" s="76"/>
      <c r="N196" s="77"/>
    </row>
    <row r="197" spans="1:14" ht="16.5" customHeight="1">
      <c r="A197" s="260"/>
      <c r="B197" s="259" t="s">
        <v>267</v>
      </c>
      <c r="C197" s="35" t="s">
        <v>104</v>
      </c>
      <c r="D197" s="59">
        <f>5000*9*12</f>
        <v>540000</v>
      </c>
      <c r="E197" s="75">
        <f>SUMIF(Table_1[내용 및 목적],"운영위원회의비",Table_1[지출])</f>
        <v>166000</v>
      </c>
      <c r="F197" s="267">
        <f t="shared" si="0"/>
        <v>374000</v>
      </c>
      <c r="G197" s="187"/>
      <c r="L197" s="76"/>
      <c r="N197" s="77"/>
    </row>
    <row r="198" spans="1:14" ht="16.5" customHeight="1">
      <c r="A198" s="260"/>
      <c r="B198" s="260"/>
      <c r="C198" s="35" t="s">
        <v>255</v>
      </c>
      <c r="D198" s="59">
        <v>1000000</v>
      </c>
      <c r="E198" s="75">
        <f>SUMIF(Table_1[내용 및 목적],"대의원선거비",Table_1[지출])</f>
        <v>0</v>
      </c>
      <c r="F198" s="267">
        <f t="shared" si="0"/>
        <v>1000000</v>
      </c>
      <c r="G198" s="187"/>
      <c r="L198" s="76"/>
      <c r="N198" s="77"/>
    </row>
    <row r="199" spans="1:14" ht="16.5" customHeight="1">
      <c r="A199" s="260"/>
      <c r="B199" s="260"/>
      <c r="C199" s="35" t="s">
        <v>244</v>
      </c>
      <c r="D199" s="59">
        <f>50000*8</f>
        <v>400000</v>
      </c>
      <c r="E199" s="75">
        <f>SUMIF(Table_1[내용 및 목적],"조직부회의비",Table_1[지출])</f>
        <v>376000</v>
      </c>
      <c r="F199" s="267">
        <f t="shared" si="0"/>
        <v>24000</v>
      </c>
      <c r="G199" s="187"/>
      <c r="L199" s="76"/>
      <c r="N199" s="77"/>
    </row>
    <row r="200" spans="1:14" ht="16.5" customHeight="1">
      <c r="A200" s="260"/>
      <c r="B200" s="260"/>
      <c r="C200" s="35" t="s">
        <v>223</v>
      </c>
      <c r="D200" s="59">
        <f>50000*4</f>
        <v>200000</v>
      </c>
      <c r="E200" s="75">
        <f>SUMIF(Table_1[내용 및 목적],"정책부회의비",Table_1[지출])</f>
        <v>135000</v>
      </c>
      <c r="F200" s="267">
        <f t="shared" si="0"/>
        <v>65000</v>
      </c>
      <c r="G200" s="187"/>
      <c r="L200" s="76"/>
      <c r="N200" s="77"/>
    </row>
    <row r="201" spans="1:14" ht="16.5" customHeight="1">
      <c r="A201" s="260"/>
      <c r="B201" s="260"/>
      <c r="C201" s="35" t="s">
        <v>243</v>
      </c>
      <c r="D201" s="59">
        <v>200000</v>
      </c>
      <c r="E201" s="75">
        <f>SUMIF(Table_1[내용 및 목적],"대협회의비",Table_1[지출])</f>
        <v>0</v>
      </c>
      <c r="F201" s="267">
        <f t="shared" si="0"/>
        <v>200000</v>
      </c>
      <c r="G201" s="187"/>
      <c r="L201" s="76"/>
      <c r="N201" s="77"/>
    </row>
    <row r="202" spans="1:14" ht="16.5" customHeight="1">
      <c r="A202" s="260"/>
      <c r="B202" s="185"/>
      <c r="C202" s="35" t="s">
        <v>220</v>
      </c>
      <c r="D202" s="59">
        <v>200000</v>
      </c>
      <c r="E202" s="75">
        <f>SUMIF(Table_1[내용 및 목적],"교선회의비",Table_1[지출])</f>
        <v>135000</v>
      </c>
      <c r="F202" s="267">
        <f t="shared" si="0"/>
        <v>65000</v>
      </c>
      <c r="G202" s="187"/>
      <c r="L202" s="76"/>
      <c r="N202" s="77"/>
    </row>
    <row r="203" spans="1:14" ht="16.5" customHeight="1">
      <c r="A203" s="185"/>
      <c r="B203" s="34" t="s">
        <v>268</v>
      </c>
      <c r="C203" s="35" t="s">
        <v>257</v>
      </c>
      <c r="D203" s="59">
        <v>0</v>
      </c>
      <c r="E203" s="75">
        <f>SUMIF(Table_1[내용 및 목적],"사무용품비",Table_1[지출])</f>
        <v>0</v>
      </c>
      <c r="F203" s="267">
        <f t="shared" si="0"/>
        <v>0</v>
      </c>
      <c r="G203" s="187"/>
      <c r="L203" s="76"/>
      <c r="N203" s="77"/>
    </row>
    <row r="204" spans="1:14" ht="16.5" customHeight="1">
      <c r="A204" s="261" t="s">
        <v>269</v>
      </c>
      <c r="B204" s="34" t="s">
        <v>270</v>
      </c>
      <c r="C204" s="47" t="s">
        <v>59</v>
      </c>
      <c r="D204" s="59">
        <f>300000*12</f>
        <v>3600000</v>
      </c>
      <c r="E204" s="75">
        <f>SUMIF(Table_1[내용 및 목적],"의장단활동비",Table_1[지출])</f>
        <v>3221060</v>
      </c>
      <c r="F204" s="267">
        <f t="shared" si="0"/>
        <v>378940</v>
      </c>
      <c r="G204" s="187"/>
      <c r="L204" s="76"/>
      <c r="N204" s="77"/>
    </row>
    <row r="205" spans="1:14" ht="16.5" customHeight="1">
      <c r="A205" s="260"/>
      <c r="B205" s="259" t="s">
        <v>271</v>
      </c>
      <c r="C205" s="47" t="s">
        <v>56</v>
      </c>
      <c r="D205" s="59">
        <v>8000000</v>
      </c>
      <c r="E205" s="75">
        <f>SUMIF(Table_1[내용 및 목적],"조직활동비",Table_1[지출])</f>
        <v>3122500</v>
      </c>
      <c r="F205" s="267">
        <f t="shared" si="0"/>
        <v>4877500</v>
      </c>
      <c r="G205" s="187"/>
      <c r="L205" s="76"/>
      <c r="N205" s="77"/>
    </row>
    <row r="206" spans="1:14" ht="16.5" customHeight="1">
      <c r="A206" s="260"/>
      <c r="B206" s="260"/>
      <c r="C206" s="35" t="s">
        <v>259</v>
      </c>
      <c r="D206" s="59">
        <v>300000</v>
      </c>
      <c r="E206" s="75">
        <f>SUMIF(Table_1[내용 및 목적],"조직원포상비",Table_1[지출])</f>
        <v>0</v>
      </c>
      <c r="F206" s="267">
        <f t="shared" si="0"/>
        <v>300000</v>
      </c>
      <c r="G206" s="187"/>
      <c r="L206" s="76"/>
      <c r="N206" s="77"/>
    </row>
    <row r="207" spans="1:14" ht="16.5" customHeight="1">
      <c r="A207" s="260"/>
      <c r="B207" s="260"/>
      <c r="C207" s="35" t="s">
        <v>261</v>
      </c>
      <c r="D207" s="59">
        <f>20000*200</f>
        <v>4000000</v>
      </c>
      <c r="E207" s="75">
        <f>SUMIF(Table_1[내용 및 목적],"선물비",Table_1[지출])</f>
        <v>0</v>
      </c>
      <c r="F207" s="267">
        <f t="shared" si="0"/>
        <v>4000000</v>
      </c>
      <c r="G207" s="187"/>
      <c r="L207" s="76"/>
      <c r="N207" s="77"/>
    </row>
    <row r="208" spans="1:14" ht="16.5" customHeight="1">
      <c r="A208" s="260"/>
      <c r="B208" s="260"/>
      <c r="C208" s="35" t="s">
        <v>253</v>
      </c>
      <c r="D208" s="59">
        <f>50000*46</f>
        <v>2300000</v>
      </c>
      <c r="E208" s="75">
        <f>SUMIF(Table_1[내용 및 목적],"조직원수련회비",Table_1[지출])</f>
        <v>0</v>
      </c>
      <c r="F208" s="267">
        <f t="shared" si="0"/>
        <v>2300000</v>
      </c>
      <c r="G208" s="187"/>
      <c r="L208" s="76"/>
      <c r="N208" s="77"/>
    </row>
    <row r="209" spans="1:14" ht="16.5" customHeight="1">
      <c r="A209" s="260"/>
      <c r="B209" s="185"/>
      <c r="C209" s="35" t="s">
        <v>256</v>
      </c>
      <c r="D209" s="59"/>
      <c r="E209" s="75">
        <f>SUMIF(Table_1[내용 및 목적],"후원회원행사비",Table_1[지출])</f>
        <v>0</v>
      </c>
      <c r="F209" s="267">
        <f t="shared" si="0"/>
        <v>0</v>
      </c>
      <c r="G209" s="187"/>
      <c r="L209" s="76"/>
      <c r="N209" s="77"/>
    </row>
    <row r="210" spans="1:14" ht="16.5" customHeight="1">
      <c r="A210" s="260"/>
      <c r="B210" s="34" t="s">
        <v>272</v>
      </c>
      <c r="C210" s="35" t="s">
        <v>249</v>
      </c>
      <c r="D210" s="59">
        <v>600000</v>
      </c>
      <c r="E210" s="75">
        <f>SUMIF(Table_1[내용 및 목적],"정책활동비",Table_1[지출])</f>
        <v>0</v>
      </c>
      <c r="F210" s="267">
        <f t="shared" si="0"/>
        <v>600000</v>
      </c>
      <c r="G210" s="187"/>
      <c r="L210" s="76"/>
      <c r="N210" s="77"/>
    </row>
    <row r="211" spans="1:14" ht="16.5" customHeight="1">
      <c r="A211" s="260"/>
      <c r="B211" s="34" t="s">
        <v>273</v>
      </c>
      <c r="C211" s="35" t="s">
        <v>248</v>
      </c>
      <c r="D211" s="59">
        <v>300000</v>
      </c>
      <c r="E211" s="75">
        <f>SUMIF(Table_1[내용 및 목적],"대협활동비",Table_1[지출])</f>
        <v>0</v>
      </c>
      <c r="F211" s="267">
        <f t="shared" si="0"/>
        <v>300000</v>
      </c>
      <c r="G211" s="187"/>
      <c r="L211" s="76"/>
      <c r="N211" s="77"/>
    </row>
    <row r="212" spans="1:14" ht="16.5" customHeight="1">
      <c r="A212" s="260"/>
      <c r="B212" s="259" t="s">
        <v>274</v>
      </c>
      <c r="C212" s="35" t="s">
        <v>252</v>
      </c>
      <c r="D212" s="59">
        <v>500000</v>
      </c>
      <c r="E212" s="75">
        <f>SUMIF(Table_1[내용 및 목적],"대자보비",Table_1[지출])</f>
        <v>0</v>
      </c>
      <c r="F212" s="267">
        <f t="shared" si="0"/>
        <v>500000</v>
      </c>
      <c r="G212" s="187"/>
      <c r="L212" s="76"/>
      <c r="N212" s="77"/>
    </row>
    <row r="213" spans="1:14" ht="16.5" customHeight="1">
      <c r="A213" s="185"/>
      <c r="B213" s="185"/>
      <c r="C213" s="35" t="s">
        <v>242</v>
      </c>
      <c r="D213" s="59">
        <f>800000-400000</f>
        <v>400000</v>
      </c>
      <c r="E213" s="75">
        <f>SUMIF(Table_1[내용 및 목적],"유인물,현수막비",Table_1[지출])</f>
        <v>0</v>
      </c>
      <c r="F213" s="267">
        <f t="shared" si="0"/>
        <v>400000</v>
      </c>
      <c r="G213" s="187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</sheetData>
  <mergeCells count="27">
    <mergeCell ref="O29:O49"/>
    <mergeCell ref="B205:B209"/>
    <mergeCell ref="A1:N2"/>
    <mergeCell ref="F213:G213"/>
    <mergeCell ref="F198:G198"/>
    <mergeCell ref="B212:B213"/>
    <mergeCell ref="F210:G210"/>
    <mergeCell ref="F200:G200"/>
    <mergeCell ref="F211:G211"/>
    <mergeCell ref="F196:G196"/>
    <mergeCell ref="F195:G195"/>
    <mergeCell ref="F204:G204"/>
    <mergeCell ref="A204:A213"/>
    <mergeCell ref="F207:G207"/>
    <mergeCell ref="F201:G201"/>
    <mergeCell ref="F197:G197"/>
    <mergeCell ref="F212:G212"/>
    <mergeCell ref="F202:G202"/>
    <mergeCell ref="F209:G209"/>
    <mergeCell ref="B197:B202"/>
    <mergeCell ref="F208:G208"/>
    <mergeCell ref="O52:O54"/>
    <mergeCell ref="F199:G199"/>
    <mergeCell ref="F205:G205"/>
    <mergeCell ref="F206:G206"/>
    <mergeCell ref="A196:A203"/>
    <mergeCell ref="F203:G203"/>
  </mergeCells>
  <phoneticPr fontId="33" type="noConversion"/>
  <dataValidations disablePrompts="1" count="4">
    <dataValidation type="list" allowBlank="1" showErrorMessage="1" sqref="C5:C107 C141 C147 C162 C166:C178" xr:uid="{00000000-0002-0000-0200-000000000000}">
      <formula1>INDIRECT(B5)</formula1>
    </dataValidation>
    <dataValidation type="list" allowBlank="1" showInputMessage="1" showErrorMessage="1" sqref="A180" xr:uid="{00000000-0002-0000-0200-000001000000}">
      <formula1>INDIRECT(A180)</formula1>
    </dataValidation>
    <dataValidation type="list" allowBlank="1" showInputMessage="1" sqref="C108:C140 C142:C146 C148:C161 C163:C165" xr:uid="{00000000-0002-0000-0200-000002000000}">
      <formula1>INDIRECT($B108)</formula1>
    </dataValidation>
    <dataValidation type="list" allowBlank="1" showErrorMessage="1" sqref="B5:B178" xr:uid="{00000000-0002-0000-0200-000003000000}">
      <formula1>$A$180:$H$180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58"/>
      <c r="D2" s="258"/>
      <c r="E2" s="258"/>
      <c r="F2" s="258"/>
      <c r="G2" s="258"/>
      <c r="H2" s="258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수입지출장부'!$D$5:$D$2006,'3. 5기 수입지출장부'!$C$5:$C$2006,"재정사업")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수입지출장부'!$D$5:$D$2006,'3. 5기 수입지출장부'!$C$5:$C$2006,"이자수입")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74" t="s">
        <v>373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18" customHeight="1">
      <c r="A2" s="271" t="s">
        <v>374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1:12" ht="8.1" customHeight="1"/>
    <row r="4" spans="1:12" ht="15.95" customHeight="1">
      <c r="B4" s="272" t="s">
        <v>375</v>
      </c>
      <c r="C4" s="187"/>
      <c r="D4" s="272" t="s">
        <v>376</v>
      </c>
      <c r="E4" s="187"/>
      <c r="F4" s="272" t="s">
        <v>377</v>
      </c>
      <c r="G4" s="187"/>
      <c r="I4" s="272" t="s">
        <v>378</v>
      </c>
      <c r="J4" s="187"/>
      <c r="K4" s="272" t="s">
        <v>379</v>
      </c>
      <c r="L4" s="187"/>
    </row>
    <row r="5" spans="1:12" ht="21.95" customHeight="1">
      <c r="B5" s="275">
        <f>'2. 5기_예산목간'!D59</f>
        <v>43098091</v>
      </c>
      <c r="C5" s="276"/>
      <c r="D5" s="275">
        <f>SUM('3. 5기 수입지출장부'!E195:E213)</f>
        <v>7955560</v>
      </c>
      <c r="E5" s="276"/>
      <c r="F5" s="275">
        <f>LOOKUP(9.99E+307,Table_1[잔액])</f>
        <v>32228791</v>
      </c>
      <c r="G5" s="276"/>
      <c r="I5" s="282">
        <f>D5/B5</f>
        <v>0.18459193471005478</v>
      </c>
      <c r="J5" s="276"/>
      <c r="K5" s="279">
        <f>SUM(Table_1[지출])-D5</f>
        <v>2913740</v>
      </c>
      <c r="L5" s="280"/>
    </row>
    <row r="6" spans="1:12" ht="21.95" customHeight="1">
      <c r="B6" s="277"/>
      <c r="C6" s="277"/>
      <c r="D6" s="277"/>
      <c r="E6" s="277"/>
      <c r="F6" s="277"/>
      <c r="G6" s="277"/>
      <c r="I6" s="277"/>
      <c r="J6" s="277"/>
      <c r="K6" s="281"/>
      <c r="L6" s="281"/>
    </row>
    <row r="7" spans="1:12" ht="6" customHeight="1"/>
    <row r="8" spans="1:12" ht="9.9499999999999993" customHeight="1"/>
    <row r="9" spans="1:12" ht="19.5">
      <c r="A9" s="273" t="s">
        <v>380</v>
      </c>
      <c r="B9" s="187"/>
      <c r="C9" s="187"/>
      <c r="D9" s="187"/>
      <c r="E9" s="187"/>
      <c r="F9" s="187"/>
      <c r="G9" s="187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수입지출장부'!D195</f>
        <v>3300000</v>
      </c>
      <c r="E11" s="162">
        <f>'3. 5기 수입지출장부'!E195</f>
        <v>800000</v>
      </c>
      <c r="F11" s="163">
        <f>'3. 5기 수입지출장부'!F195</f>
        <v>2500000</v>
      </c>
      <c r="G11" s="164">
        <f t="shared" ref="G11:G29" si="0">IFERROR(E11/D11,0)</f>
        <v>0.24242424242424243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수입지출장부'!D196</f>
        <v>1927800</v>
      </c>
      <c r="E12" s="168">
        <f>'3. 5기 수입지출장부'!E196</f>
        <v>0</v>
      </c>
      <c r="F12" s="169">
        <f>'3. 5기 수입지출장부'!F196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수입지출장부'!D197</f>
        <v>540000</v>
      </c>
      <c r="E13" s="162">
        <f>'3. 5기 수입지출장부'!E197</f>
        <v>166000</v>
      </c>
      <c r="F13" s="163">
        <f>'3. 5기 수입지출장부'!F197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수입지출장부'!D198</f>
        <v>1000000</v>
      </c>
      <c r="E14" s="168">
        <f>'3. 5기 수입지출장부'!E198</f>
        <v>0</v>
      </c>
      <c r="F14" s="169">
        <f>'3. 5기 수입지출장부'!F198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수입지출장부'!D199</f>
        <v>400000</v>
      </c>
      <c r="E15" s="162">
        <f>'3. 5기 수입지출장부'!E199</f>
        <v>376000</v>
      </c>
      <c r="F15" s="163">
        <f>'3. 5기 수입지출장부'!F199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수입지출장부'!D200</f>
        <v>200000</v>
      </c>
      <c r="E16" s="168">
        <f>'3. 5기 수입지출장부'!E200</f>
        <v>135000</v>
      </c>
      <c r="F16" s="169">
        <f>'3. 5기 수입지출장부'!F200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수입지출장부'!D201</f>
        <v>200000</v>
      </c>
      <c r="E17" s="162">
        <f>'3. 5기 수입지출장부'!E201</f>
        <v>0</v>
      </c>
      <c r="F17" s="163">
        <f>'3. 5기 수입지출장부'!F201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수입지출장부'!D202</f>
        <v>200000</v>
      </c>
      <c r="E18" s="168">
        <f>'3. 5기 수입지출장부'!E202</f>
        <v>135000</v>
      </c>
      <c r="F18" s="169">
        <f>'3. 5기 수입지출장부'!F202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수입지출장부'!D203</f>
        <v>0</v>
      </c>
      <c r="E19" s="162">
        <f>'3. 5기 수입지출장부'!E203</f>
        <v>0</v>
      </c>
      <c r="F19" s="163">
        <f>'3. 5기 수입지출장부'!F203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수입지출장부'!D204</f>
        <v>3600000</v>
      </c>
      <c r="E20" s="168">
        <f>'3. 5기 수입지출장부'!E204</f>
        <v>3221060</v>
      </c>
      <c r="F20" s="169">
        <f>'3. 5기 수입지출장부'!F204</f>
        <v>378940</v>
      </c>
      <c r="G20" s="170">
        <f t="shared" si="0"/>
        <v>0.89473888888888886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수입지출장부'!D205</f>
        <v>8000000</v>
      </c>
      <c r="E21" s="162">
        <f>'3. 5기 수입지출장부'!E205</f>
        <v>3122500</v>
      </c>
      <c r="F21" s="163">
        <f>'3. 5기 수입지출장부'!F205</f>
        <v>4877500</v>
      </c>
      <c r="G21" s="164">
        <f t="shared" si="0"/>
        <v>0.39031250000000001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수입지출장부'!D206</f>
        <v>300000</v>
      </c>
      <c r="E22" s="168">
        <f>'3. 5기 수입지출장부'!E206</f>
        <v>0</v>
      </c>
      <c r="F22" s="169">
        <f>'3. 5기 수입지출장부'!F206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수입지출장부'!D207</f>
        <v>4000000</v>
      </c>
      <c r="E23" s="162">
        <f>'3. 5기 수입지출장부'!E207</f>
        <v>0</v>
      </c>
      <c r="F23" s="163">
        <f>'3. 5기 수입지출장부'!F207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수입지출장부'!D208</f>
        <v>2300000</v>
      </c>
      <c r="E24" s="168">
        <f>'3. 5기 수입지출장부'!E208</f>
        <v>0</v>
      </c>
      <c r="F24" s="169">
        <f>'3. 5기 수입지출장부'!F208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수입지출장부'!D209</f>
        <v>0</v>
      </c>
      <c r="E25" s="162">
        <f>'3. 5기 수입지출장부'!E209</f>
        <v>0</v>
      </c>
      <c r="F25" s="163">
        <f>'3. 5기 수입지출장부'!F209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수입지출장부'!D210</f>
        <v>600000</v>
      </c>
      <c r="E26" s="168">
        <f>'3. 5기 수입지출장부'!E210</f>
        <v>0</v>
      </c>
      <c r="F26" s="169">
        <f>'3. 5기 수입지출장부'!F210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수입지출장부'!D211</f>
        <v>300000</v>
      </c>
      <c r="E27" s="162">
        <f>'3. 5기 수입지출장부'!E211</f>
        <v>0</v>
      </c>
      <c r="F27" s="163">
        <f>'3. 5기 수입지출장부'!F211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수입지출장부'!D212</f>
        <v>500000</v>
      </c>
      <c r="E28" s="168">
        <f>'3. 5기 수입지출장부'!E212</f>
        <v>0</v>
      </c>
      <c r="F28" s="169">
        <f>'3. 5기 수입지출장부'!F212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수입지출장부'!D213</f>
        <v>400000</v>
      </c>
      <c r="E29" s="162">
        <f>'3. 5기 수입지출장부'!E213</f>
        <v>0</v>
      </c>
      <c r="F29" s="163">
        <f>'3. 5기 수입지출장부'!F213</f>
        <v>400000</v>
      </c>
      <c r="G29" s="164">
        <f t="shared" si="0"/>
        <v>0</v>
      </c>
    </row>
    <row r="31" spans="1:12">
      <c r="A31" s="278" t="s">
        <v>384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2026-10-01T08:36:48Z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