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8_{40E7AC0C-6368-43F3-B9D6-61B9A1CC4D3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3" l="1"/>
  <c r="G153" i="3" s="1"/>
  <c r="G154" i="3" s="1"/>
  <c r="G155" i="3" s="1"/>
  <c r="G151" i="3"/>
  <c r="G7" i="3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<sst xmlns="http://schemas.openxmlformats.org/spreadsheetml/2006/main" count="1292" uniqueCount="408">
  <si>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</si>
  <si>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</si>
  <si>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</si>
  <si>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</si>
  <si>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</si>
  <si>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</si>
  <si>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</si>
  <si>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</si>
  <si>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</si>
  <si>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</si>
  <si>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</si>
  <si>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</si>
  <si>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</si>
  <si>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</si>
  <si>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</si>
  <si>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</si>
  <si>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</si>
  <si>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</si>
  <si>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</si>
  <si>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</si>
  <si>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</si>
  <si>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</si>
  <si>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</si>
  <si>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</si>
  <si>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</si>
  <si>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</si>
  <si>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</si>
  <si>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</si>
  <si>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</si>
  <si>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</si>
  <si>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</si>
  <si>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</si>
  <si>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</si>
  <si>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</si>
  <si>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</si>
  <si>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</si>
  <si>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</si>
  <si>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</si>
  <si>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</si>
  <si>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</si>
  <si>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</si>
  <si>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</si>
  <si>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</si>
  <si>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</si>
  <si>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</si>
  <si>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</si>
  <si>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</si>
  <si>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</si>
  <si>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</si>
  <si>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</si>
  <si>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</si>
  <si>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</si>
  <si>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</si>
  <si>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</si>
  <si>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</si>
  <si>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</si>
  <si>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</si>
  <si>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</si>
  <si>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</si>
  <si>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</si>
  <si>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</si>
  <si>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</si>
  <si>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</si>
  <si>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</si>
  <si>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</si>
  <si>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</si>
  <si>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</si>
  <si>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</si>
  <si>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</si>
  <si>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</si>
  <si>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</si>
  <si>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</si>
  <si>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</si>
  <si>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</si>
  <si>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</si>
  <si>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</si>
  <si>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</si>
  <si>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</si>
  <si>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</si>
  <si>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</si>
  <si>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</si>
  <si>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</si>
  <si>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</si>
  <si>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</si>
  <si>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</si>
  <si>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</si>
  <si>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</si>
  <si>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</si>
  <si>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</si>
  <si>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</si>
  <si>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</si>
  <si>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</si>
  <si>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</si>
  <si>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</si>
  <si>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</si>
  <si>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</si>
  <si>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</si>
  <si>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</si>
  <si>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</si>
  <si>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</si>
  <si>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</si>
  <si>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</si>
  <si>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</si>
  <si>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</si>
  <si>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</si>
  <si>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</si>
  <si>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</si>
  <si>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</si>
  <si>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</si>
  <si>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</si>
  <si>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</si>
  <si>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</si>
  <si>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</si>
  <si>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</si>
  <si>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</si>
  <si>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</si>
  <si>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</si>
  <si>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</si>
  <si>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</si>
  <si>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</si>
  <si>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</si>
  <si>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</si>
  <si>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</si>
  <si>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</si>
  <si>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</si>
  <si>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</si>
  <si>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</si>
  <si>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</si>
  <si>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</si>
  <si>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</si>
  <si>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</si>
  <si>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</si>
  <si>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</si>
  <si>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</si>
  <si>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</si>
  <si>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</si>
  <si>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</si>
  <si>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</si>
  <si>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</si>
  <si>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</si>
  <si>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</si>
  <si>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</si>
  <si>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</si>
  <si>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</si>
  <si>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</si>
  <si>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</si>
  <si>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</si>
  <si>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</si>
  <si>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</si>
  <si>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</si>
  <si>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</si>
  <si>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</si>
  <si>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</si>
  <si>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</si>
  <si>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</si>
  <si>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</si>
  <si>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</si>
  <si>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</si>
  <si>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</si>
  <si>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</si>
  <si>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</si>
  <si>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</si>
  <si>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</si>
  <si>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</si>
  <si>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</si>
  <si>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</si>
  <si>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</si>
  <si>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</si>
  <si>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</si>
  <si>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</si>
  <si>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</si>
  <si>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</si>
  <si>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</si>
  <si>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</si>
  <si>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</si>
  <si>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</si>
  <si>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</si>
  <si>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</si>
  <si>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</si>
  <si>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</si>
  <si>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</si>
  <si>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</si>
  <si>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</si>
  <si>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</si>
  <si>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</si>
  <si>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</si>
  <si>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</si>
  <si>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</si>
  <si>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</si>
  <si>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</si>
  <si>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</si>
  <si>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</si>
  <si>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</si>
  <si>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</si>
  <si>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</si>
  <si>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</si>
  <si>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</si>
  <si>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</si>
  <si>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</si>
  <si>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</si>
  <si>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</si>
  <si>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</si>
  <si>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</si>
  <si>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</si>
  <si>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</si>
  <si>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</si>
  <si>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</si>
  <si>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</si>
  <si>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</si>
  <si>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</si>
  <si>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</si>
  <si>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</si>
  <si>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</si>
  <si>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</si>
  <si>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</si>
  <si>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</si>
  <si>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</si>
  <si>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</si>
  <si>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</si>
  <si>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</si>
  <si>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</si>
  <si>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</si>
  <si>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</si>
  <si>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</si>
  <si>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</si>
  <si>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</si>
  <si>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</si>
  <si>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</si>
  <si>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</si>
  <si>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</si>
  <si>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</si>
  <si>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</si>
  <si>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</si>
  <si>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</si>
  <si>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</si>
  <si>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</si>
  <si>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</si>
  <si>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</si>
  <si>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</si>
  <si>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</si>
  <si>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</si>
  <si>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</si>
  <si>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</si>
  <si>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</si>
  <si>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</si>
  <si>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</si>
  <si>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</si>
  <si>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</si>
  <si>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</si>
  <si>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</si>
  <si>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</si>
  <si>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</si>
  <si>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</si>
  <si>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</si>
  <si>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</si>
  <si>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</si>
  <si>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</si>
  <si>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</si>
  <si>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</si>
  <si>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</si>
  <si>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</si>
  <si>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</si>
  <si>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</si>
  <si>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</si>
  <si>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</si>
  <si>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</si>
  <si>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</si>
  <si>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</si>
  <si>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</si>
  <si>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</si>
  <si>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</si>
  <si>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</si>
  <si>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</si>
  <si>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</si>
  <si>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</si>
  <si>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</si>
  <si>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</si>
  <si>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</si>
  <si>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</si>
  <si>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</si>
  <si>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</si>
  <si>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</si>
  <si>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</si>
  <si>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</si>
  <si>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</si>
  <si>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</si>
  <si>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</si>
  <si>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</si>
  <si>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</si>
  <si>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</si>
  <si>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</si>
  <si>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</si>
  <si>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</si>
  <si>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</si>
  <si>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</si>
  <si>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</si>
  <si>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</si>
  <si>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</si>
  <si>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</si>
  <si>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</si>
  <si>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</si>
  <si>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</si>
  <si>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</si>
  <si>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</si>
  <si>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</si>
  <si>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</si>
  <si>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</si>
  <si>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</si>
  <si>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</si>
  <si>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</si>
  <si>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</si>
  <si>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</si>
  <si>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</si>
  <si>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</si>
  <si>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</si>
  <si>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</si>
  <si>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</si>
  <si>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</si>
  <si>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</si>
  <si>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</si>
  <si>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</si>
  <si>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</si>
  <si>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</si>
  <si>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</si>
  <si>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</si>
  <si>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</si>
  <si>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</si>
  <si>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</si>
  <si>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</si>
  <si>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</si>
  <si>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</si>
  <si>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</si>
  <si>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</si>
  <si>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</si>
  <si>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</si>
  <si>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</si>
  <si>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</si>
  <si>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</si>
  <si>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</si>
  <si>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</si>
  <si>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</si>
  <si>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</si>
  <si>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</si>
  <si>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</si>
  <si>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</si>
  <si>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</si>
  <si>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</si>
  <si>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</si>
  <si>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</si>
  <si>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</si>
  <si>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</si>
  <si>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</si>
  <si>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</si>
  <si>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</si>
  <si>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</si>
  <si>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</si>
  <si>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</si>
  <si>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</si>
  <si>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</si>
  <si>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</si>
  <si>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</si>
  <si>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</si>
  <si>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</si>
  <si>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</si>
  <si>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 xml:space="preserve"> 정양민 연구원 - 8월 5일 가입 처리 완 (회계)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</si>
  <si>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</si>
  <si>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</si>
  <si>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</si>
  <si>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</si>
  <si>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</si>
  <si>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</si>
  <si>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</si>
  <si>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</si>
  <si>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</si>
  <si>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</si>
  <si>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</si>
  <si>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</si>
  <si>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</si>
  <si>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</si>
  <si>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</si>
  <si>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</si>
  <si>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</si>
  <si>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</si>
  <si>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</si>
  <si>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</si>
  <si>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</si>
  <si>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4" type="noConversion"/>
  </si>
  <si>
    <t>2026-09-02</t>
    <phoneticPr fontId="34" type="noConversion"/>
  </si>
  <si>
    <t>조직원 티타임 (김성복 외 2명)</t>
    <phoneticPr fontId="34" type="noConversion"/>
  </si>
  <si>
    <t>2026-09-04</t>
    <phoneticPr fontId="34" type="noConversion"/>
  </si>
  <si>
    <t>조직원 티타임 (김성복 외 11명)</t>
    <phoneticPr fontId="34" type="noConversion"/>
  </si>
  <si>
    <t>2026-09-08</t>
    <phoneticPr fontId="34" type="noConversion"/>
  </si>
  <si>
    <t>The연구소중심 조직부 회의비 (박보규 외 13명)</t>
    <phoneticPr fontId="34" type="noConversion"/>
  </si>
  <si>
    <t>의장단 및 감사 첫 회식(김성복 외 4명)</t>
    <phoneticPr fontId="34" type="noConversion"/>
  </si>
  <si>
    <t>2026-09-10</t>
    <phoneticPr fontId="34" type="noConversion"/>
  </si>
  <si>
    <t xml:space="preserve"> 황재광/김두희 후원회원 가입 (회계처리완)</t>
    <phoneticPr fontId="34" type="noConversion"/>
  </si>
  <si>
    <t>의장단, 감사, 집행부 점심식사 (김성복 외 11명)</t>
    <phoneticPr fontId="34" type="noConversion"/>
  </si>
  <si>
    <t>2026-09-11</t>
    <phoneticPr fontId="34" type="noConversion"/>
  </si>
  <si>
    <t>2026-08-28</t>
    <phoneticPr fontId="34" type="noConversion"/>
  </si>
  <si>
    <t>김경태</t>
    <phoneticPr fontId="34" type="noConversion"/>
  </si>
  <si>
    <t>카뱅</t>
    <phoneticPr fontId="34" type="noConversion"/>
  </si>
  <si>
    <t>조직사업 (홍성민 외 2명)</t>
    <phoneticPr fontId="34" type="noConversion"/>
  </si>
  <si>
    <t>조직사업 (김경태 외 1명)</t>
    <phoneticPr fontId="34" type="noConversion"/>
  </si>
  <si>
    <t>2026-09-15</t>
    <phoneticPr fontId="34" type="noConversion"/>
  </si>
  <si>
    <t>조직사업 (김성복 외 7명)</t>
    <phoneticPr fontId="34" type="noConversion"/>
  </si>
  <si>
    <t>조직사업 (김성복 외 9명)</t>
    <phoneticPr fontId="34" type="noConversion"/>
  </si>
  <si>
    <t>조직사업 (박보규 외 4명)</t>
    <phoneticPr fontId="34" type="noConversion"/>
  </si>
  <si>
    <t>의장단 회의 (김경태 외 3명)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</si>
</sst>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6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6" fillId="0" borderId="0" xfId="0" applyFont="1" applyBorder="1"/>
    <xf numFmtId="0" fontId="28" fillId="4" borderId="43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 wrapText="1"/>
    </xf>
    <xf numFmtId="0" fontId="28" fillId="0" borderId="15" xfId="0" applyFont="1" applyBorder="1" applyAlignment="1">
      <alignment horizontal="left" vertical="center" wrapText="1"/>
    </xf>
    <xf numFmtId="178" fontId="26" fillId="0" borderId="0" xfId="0" applyNumberFormat="1" applyFont="1" applyBorder="1"/>
    <xf numFmtId="0" fontId="30" fillId="0" borderId="15" xfId="0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178" fontId="28" fillId="11" borderId="15" xfId="0" applyNumberFormat="1" applyFont="1" applyFill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32" fillId="4" borderId="43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178" fontId="26" fillId="0" borderId="0" xfId="0" applyNumberFormat="1" applyFont="1" applyBorder="1" applyAlignment="1">
      <alignment horizontal="center" vertical="center"/>
    </xf>
    <xf numFmtId="178" fontId="31" fillId="0" borderId="0" xfId="0" applyNumberFormat="1" applyFont="1" applyBorder="1" applyAlignment="1">
      <alignment horizontal="center" vertical="center"/>
    </xf>
    <xf numFmtId="0" fontId="29" fillId="11" borderId="43" xfId="0" applyFont="1" applyFill="1" applyBorder="1" applyAlignment="1">
      <alignment horizontal="center" vertical="center"/>
    </xf>
    <xf numFmtId="0" fontId="28" fillId="0" borderId="0" xfId="0" applyFont="1" applyBorder="1"/>
    <xf numFmtId="179" fontId="26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3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3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9" fillId="11" borderId="43" xfId="0" applyNumberFormat="1" applyFont="1" applyFill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179" fontId="35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2" fillId="16" borderId="76" xfId="0" applyFont="1" applyFill="1" applyBorder="1" applyAlignment="1">
      <alignment horizontal="center"/>
    </xf>
    <xf numFmtId="0" fontId="43" fillId="0" borderId="76" xfId="0" applyFont="1" applyBorder="1" applyAlignment="1">
      <alignment horizontal="center"/>
    </xf>
    <xf numFmtId="0" fontId="44" fillId="0" borderId="76" xfId="0" applyFont="1" applyBorder="1"/>
    <xf numFmtId="3" fontId="44" fillId="0" borderId="76" xfId="0" applyNumberFormat="1" applyFont="1" applyBorder="1"/>
    <xf numFmtId="3" fontId="45" fillId="0" borderId="76" xfId="0" applyNumberFormat="1" applyFont="1" applyBorder="1"/>
    <xf numFmtId="3" fontId="43" fillId="0" borderId="76" xfId="0" applyNumberFormat="1" applyFont="1" applyBorder="1"/>
    <xf numFmtId="184" fontId="44" fillId="0" borderId="76" xfId="0" applyNumberFormat="1" applyFont="1" applyBorder="1" applyAlignment="1">
      <alignment horizontal="center"/>
    </xf>
    <xf numFmtId="0" fontId="43" fillId="17" borderId="76" xfId="0" applyFont="1" applyFill="1" applyBorder="1" applyAlignment="1">
      <alignment horizontal="center"/>
    </xf>
    <xf numFmtId="0" fontId="44" fillId="17" borderId="76" xfId="0" applyFont="1" applyFill="1" applyBorder="1"/>
    <xf numFmtId="3" fontId="44" fillId="17" borderId="76" xfId="0" applyNumberFormat="1" applyFont="1" applyFill="1" applyBorder="1"/>
    <xf numFmtId="3" fontId="45" fillId="17" borderId="76" xfId="0" applyNumberFormat="1" applyFont="1" applyFill="1" applyBorder="1"/>
    <xf numFmtId="3" fontId="43" fillId="17" borderId="76" xfId="0" applyNumberFormat="1" applyFont="1" applyFill="1" applyBorder="1"/>
    <xf numFmtId="184" fontId="44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2" borderId="15" xfId="0" applyFont="1" applyFill="1" applyBorder="1" applyAlignment="1">
      <alignment horizontal="center" vertical="center"/>
    </xf>
    <xf numFmtId="0" fontId="0" fillId="0" borderId="49" xfId="0" applyBorder="1"/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9" fillId="6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6" fillId="5" borderId="15" xfId="0" applyFont="1" applyFill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7" fillId="10" borderId="41" xfId="0" applyFont="1" applyFill="1" applyBorder="1" applyAlignment="1">
      <alignment horizontal="center" vertical="center"/>
    </xf>
    <xf numFmtId="0" fontId="40" fillId="0" borderId="0" xfId="0" applyFont="1" applyBorder="1"/>
    <xf numFmtId="0" fontId="38" fillId="0" borderId="0" xfId="0" applyFont="1" applyBorder="1" applyAlignment="1">
      <alignment horizontal="left" vertical="center"/>
    </xf>
    <xf numFmtId="183" fontId="39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9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7" fillId="0" borderId="0" xfId="0" applyFont="1" applyBorder="1" applyAlignment="1">
      <alignment horizontal="left" vertical="center"/>
    </xf>
    <xf numFmtId="0" fontId="41" fillId="0" borderId="0" xfId="0" applyFont="1" applyBorder="1"/>
    <xf numFmtId="0" fontId="36" fillId="0" borderId="0" xfId="0" applyFont="1" applyBorder="1" applyAlignment="1">
      <alignment horizontal="left" vertical="center"/>
    </xf>
    <xf numFmtId="183" fontId="39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8" customWidth="1"/>
    <col min="2" max="2" width="3.28515625" style="158" customWidth="1"/>
    <col min="3" max="3" width="12.28515625" style="158" customWidth="1"/>
    <col min="4" max="4" width="6.28515625" style="158" customWidth="1"/>
    <col min="5" max="7" width="4" style="158" customWidth="1"/>
    <col min="8" max="16" width="3.5703125" style="158" customWidth="1"/>
    <col min="17" max="17" width="8.42578125" style="158" customWidth="1"/>
    <col min="18" max="18" width="1.85546875" style="158" customWidth="1"/>
    <col min="19" max="19" width="8.85546875" style="158" customWidth="1"/>
    <col min="20" max="20" width="13.7109375" style="158" customWidth="1"/>
    <col min="21" max="23" width="3.7109375" style="158" customWidth="1"/>
    <col min="24" max="28" width="13.28515625" style="158" customWidth="1"/>
    <col min="29" max="29" width="15.85546875" style="158" customWidth="1"/>
    <col min="30" max="39" width="4.28515625" style="158" customWidth="1"/>
    <col min="40" max="40" width="8.7109375" style="158" customWidth="1"/>
    <col min="41" max="41" width="13.85546875" style="158" customWidth="1"/>
    <col min="42" max="42" width="4.28515625" style="158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0.24242424242424243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206">
        <f>'3. 5기 수입지출장부'!E193</f>
        <v>800000</v>
      </c>
      <c r="R7" s="207"/>
      <c r="S7" s="196"/>
      <c r="T7" s="196"/>
      <c r="U7" s="3"/>
      <c r="V7" s="3"/>
      <c r="W7" s="3"/>
      <c r="X7" s="10">
        <f>SUM(Q6,Q8,Q10,Q22,Q46,Q26,Q42,Q44)</f>
        <v>23118091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40218091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206">
        <f>'3. 5기 수입지출장부'!E194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31">
        <f>'3. 5기 수입지출장부'!E195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2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206">
        <f>'3. 5기 수입지출장부'!E196</f>
        <v>0</v>
      </c>
      <c r="R13" s="207"/>
      <c r="S13" s="196"/>
      <c r="T13" s="122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248">
        <f>'3. 5기 수입지출장부'!E197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206">
        <f>'3. 5기 수입지출장부'!E198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16">
        <f>'3. 5기 수입지출장부'!E199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206">
        <f>'3. 5기 수입지출장부'!E200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0.84037777777777778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206">
        <f>'3. 5기 수입지출장부'!E202</f>
        <v>3025360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0.39031250000000001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206">
        <f>'3. 5기 수입지출장부'!E203</f>
        <v>3122500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206">
        <f>'3. 5기 수입지출장부'!E204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206">
        <f>'3. 5기 수입지출장부'!E205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206">
        <f>'3. 5기 수입지출장부'!E206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206">
        <f>'3. 5기 수입지출장부'!E207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206">
        <f>'3. 5기 수입지출장부'!E208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198">
        <f>'3. 5기 수입지출장부'!E209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198">
        <f>'3. 5기 수입지출장부'!E210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198">
        <f>'3. 5기 수입지출장부'!E211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3450291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41218091</v>
      </c>
      <c r="R48" s="221"/>
      <c r="S48" s="239">
        <f>Q49/Q48</f>
        <v>0.18826344965854921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7759860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8" customWidth="1"/>
    <col min="2" max="5" width="16.28515625" style="158" customWidth="1"/>
    <col min="6" max="6" width="66.85546875" style="158" customWidth="1"/>
    <col min="7" max="8" width="9" style="158" customWidth="1"/>
    <col min="9" max="9" width="12.5703125" style="158" customWidth="1"/>
    <col min="10" max="10" width="10.7109375" style="158" customWidth="1"/>
    <col min="11" max="11" width="11.42578125" style="158" customWidth="1"/>
    <col min="12" max="26" width="8.7109375" style="158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1" t="s">
        <v>298</v>
      </c>
      <c r="B5" s="258"/>
      <c r="C5" s="259"/>
      <c r="D5" s="261" t="s">
        <v>299</v>
      </c>
      <c r="E5" s="259"/>
      <c r="F5" s="261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3" t="s">
        <v>4</v>
      </c>
      <c r="B7" s="34" t="s">
        <v>17</v>
      </c>
      <c r="C7" s="35" t="s">
        <v>306</v>
      </c>
      <c r="D7" s="36">
        <f>'4. 5기 수입상세 및 인원변동'!E18</f>
        <v>7340000</v>
      </c>
      <c r="E7" s="37">
        <f t="shared" ref="E7:E16" si="0">D7/D$17</f>
        <v>0.17807714578533004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6"/>
      <c r="B8" s="34" t="s">
        <v>251</v>
      </c>
      <c r="C8" s="35" t="s">
        <v>306</v>
      </c>
      <c r="D8" s="36">
        <f>'4. 5기 수입상세 및 인원변동'!F18</f>
        <v>7525000</v>
      </c>
      <c r="E8" s="37">
        <f t="shared" si="0"/>
        <v>0.18256546621724912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6"/>
      <c r="B9" s="34" t="s">
        <v>15</v>
      </c>
      <c r="C9" s="42" t="s">
        <v>309</v>
      </c>
      <c r="D9" s="36">
        <f>23031391-D16</f>
        <v>13031391</v>
      </c>
      <c r="E9" s="37">
        <f t="shared" si="0"/>
        <v>0.31615707287365635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6"/>
      <c r="B10" s="264" t="s">
        <v>311</v>
      </c>
      <c r="C10" s="259"/>
      <c r="D10" s="43">
        <f>SUM(D7:D9)</f>
        <v>27896391</v>
      </c>
      <c r="E10" s="44">
        <f t="shared" si="0"/>
        <v>0.67679968487623554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6"/>
      <c r="B11" s="255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8.0265726037627508E-2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6"/>
      <c r="B12" s="256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6"/>
      <c r="B13" s="256"/>
      <c r="C13" s="35" t="s">
        <v>162</v>
      </c>
      <c r="D13" s="36">
        <f>'4. 5기 수입상세 및 인원변동'!G22</f>
        <v>13300</v>
      </c>
      <c r="E13" s="37">
        <f t="shared" si="0"/>
        <v>3.226738472676961E-4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6"/>
      <c r="B14" s="209"/>
      <c r="C14" s="47" t="s">
        <v>314</v>
      </c>
      <c r="D14" s="43">
        <f>SUM(D11:D13)</f>
        <v>3321700</v>
      </c>
      <c r="E14" s="44">
        <f t="shared" si="0"/>
        <v>8.0588399884895204E-2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6"/>
      <c r="B15" s="255" t="s">
        <v>260</v>
      </c>
      <c r="C15" s="42" t="s">
        <v>260</v>
      </c>
      <c r="D15" s="48">
        <v>10000000</v>
      </c>
      <c r="E15" s="37">
        <f t="shared" si="0"/>
        <v>0.24261191523886927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0.24261191523886927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7" t="s">
        <v>315</v>
      </c>
      <c r="B17" s="258"/>
      <c r="C17" s="259"/>
      <c r="D17" s="49">
        <f>D16+D14+D10</f>
        <v>41218091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1" t="s">
        <v>298</v>
      </c>
      <c r="B21" s="258"/>
      <c r="C21" s="259"/>
      <c r="D21" s="265" t="s">
        <v>317</v>
      </c>
      <c r="E21" s="259"/>
      <c r="F21" s="261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0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8.006193202882686E-2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57" t="s">
        <v>319</v>
      </c>
      <c r="C24" s="259"/>
      <c r="D24" s="62">
        <f>D23</f>
        <v>3300000</v>
      </c>
      <c r="E24" s="50">
        <f>SUM(E23)</f>
        <v>8.006193202882686E-2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0" t="s">
        <v>265</v>
      </c>
      <c r="B25" s="255" t="s">
        <v>266</v>
      </c>
      <c r="C25" s="35" t="s">
        <v>247</v>
      </c>
      <c r="D25" s="59">
        <f>214200*3*3</f>
        <v>1927800</v>
      </c>
      <c r="E25" s="60">
        <f>D25/D$59</f>
        <v>4.6770725019749215E-2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6"/>
      <c r="B26" s="209"/>
      <c r="C26" s="47" t="s">
        <v>321</v>
      </c>
      <c r="D26" s="63">
        <f>SUM(D25)</f>
        <v>1927800</v>
      </c>
      <c r="E26" s="64">
        <f>SUM(E25)</f>
        <v>4.6770725019749215E-2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6"/>
      <c r="B27" s="255" t="s">
        <v>267</v>
      </c>
      <c r="C27" s="35" t="s">
        <v>104</v>
      </c>
      <c r="D27" s="59">
        <f>5000*9*12</f>
        <v>540000</v>
      </c>
      <c r="E27" s="60">
        <f t="shared" ref="E27:E32" si="1">D27/D$59</f>
        <v>1.310104342289894E-2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6"/>
      <c r="B28" s="256"/>
      <c r="C28" s="35" t="s">
        <v>255</v>
      </c>
      <c r="D28" s="59">
        <v>1000000</v>
      </c>
      <c r="E28" s="60">
        <f t="shared" si="1"/>
        <v>2.4261191523886925E-2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6"/>
      <c r="B29" s="256"/>
      <c r="C29" s="35" t="s">
        <v>244</v>
      </c>
      <c r="D29" s="59">
        <f>50000*8</f>
        <v>400000</v>
      </c>
      <c r="E29" s="60">
        <f t="shared" si="1"/>
        <v>9.7044766095547713E-3</v>
      </c>
      <c r="F29" s="61" t="s">
        <v>323</v>
      </c>
      <c r="G29" s="254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6"/>
      <c r="B30" s="256"/>
      <c r="C30" s="35" t="s">
        <v>223</v>
      </c>
      <c r="D30" s="59">
        <f>50000*4</f>
        <v>200000</v>
      </c>
      <c r="E30" s="60">
        <f t="shared" si="1"/>
        <v>4.8522383047773857E-3</v>
      </c>
      <c r="F30" s="61" t="s">
        <v>324</v>
      </c>
      <c r="G30" s="254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6"/>
      <c r="B31" s="256"/>
      <c r="C31" s="35" t="s">
        <v>243</v>
      </c>
      <c r="D31" s="59">
        <v>200000</v>
      </c>
      <c r="E31" s="60">
        <f t="shared" si="1"/>
        <v>4.8522383047773857E-3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6"/>
      <c r="B32" s="256"/>
      <c r="C32" s="35" t="s">
        <v>220</v>
      </c>
      <c r="D32" s="59">
        <v>200000</v>
      </c>
      <c r="E32" s="60">
        <f t="shared" si="1"/>
        <v>4.8522383047773857E-3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6"/>
      <c r="B33" s="209"/>
      <c r="C33" s="47" t="s">
        <v>325</v>
      </c>
      <c r="D33" s="63">
        <f>SUM(D27:D32)</f>
        <v>2540000</v>
      </c>
      <c r="E33" s="64">
        <f>SUM(E27:E32)</f>
        <v>6.1623426470672794E-2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6"/>
      <c r="B34" s="255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7" t="s">
        <v>326</v>
      </c>
      <c r="B36" s="258"/>
      <c r="C36" s="259"/>
      <c r="D36" s="62">
        <f>D26+D33+D35</f>
        <v>4467800</v>
      </c>
      <c r="E36" s="50">
        <f>D36/D$59</f>
        <v>0.108394151490422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0" t="s">
        <v>269</v>
      </c>
      <c r="B37" s="255" t="s">
        <v>270</v>
      </c>
      <c r="C37" s="35" t="s">
        <v>59</v>
      </c>
      <c r="D37" s="59">
        <f>300000*12</f>
        <v>3600000</v>
      </c>
      <c r="E37" s="60">
        <f>D37/D$59</f>
        <v>8.7340289485992928E-2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6"/>
      <c r="B38" s="209"/>
      <c r="C38" s="47" t="s">
        <v>321</v>
      </c>
      <c r="D38" s="63">
        <f>SUM(D37)</f>
        <v>3600000</v>
      </c>
      <c r="E38" s="64">
        <f>SUM(E37)</f>
        <v>8.7340289485992928E-2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6"/>
      <c r="B39" s="255" t="s">
        <v>271</v>
      </c>
      <c r="C39" s="35" t="s">
        <v>56</v>
      </c>
      <c r="D39" s="59">
        <v>8000000</v>
      </c>
      <c r="E39" s="60">
        <f t="shared" ref="E39:E58" si="2">D39/D$59</f>
        <v>0.1940895321910954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6"/>
      <c r="B40" s="256"/>
      <c r="C40" s="35" t="s">
        <v>259</v>
      </c>
      <c r="D40" s="59">
        <v>300000</v>
      </c>
      <c r="E40" s="60">
        <f t="shared" si="2"/>
        <v>7.2783574571660776E-3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6"/>
      <c r="B41" s="256"/>
      <c r="C41" s="35" t="s">
        <v>261</v>
      </c>
      <c r="D41" s="59">
        <f>20000*200</f>
        <v>4000000</v>
      </c>
      <c r="E41" s="60">
        <f t="shared" si="2"/>
        <v>9.7044766095547699E-2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6"/>
      <c r="B42" s="256"/>
      <c r="C42" s="35" t="s">
        <v>253</v>
      </c>
      <c r="D42" s="59">
        <f>50000*46</f>
        <v>2300000</v>
      </c>
      <c r="E42" s="60">
        <f t="shared" si="2"/>
        <v>5.5800740504939932E-2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6"/>
      <c r="B43" s="256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6"/>
      <c r="B44" s="209"/>
      <c r="C44" s="47" t="s">
        <v>321</v>
      </c>
      <c r="D44" s="63">
        <f>SUM(D39:D43)</f>
        <v>14600000</v>
      </c>
      <c r="E44" s="64">
        <f t="shared" si="2"/>
        <v>0.35421339624874915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6"/>
      <c r="B45" s="255" t="s">
        <v>272</v>
      </c>
      <c r="C45" s="35" t="s">
        <v>249</v>
      </c>
      <c r="D45" s="59">
        <v>600000</v>
      </c>
      <c r="E45" s="60">
        <f t="shared" si="2"/>
        <v>1.4556714914332155E-2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6"/>
      <c r="B46" s="209"/>
      <c r="C46" s="47" t="s">
        <v>321</v>
      </c>
      <c r="D46" s="63">
        <f>SUM(D45)</f>
        <v>600000</v>
      </c>
      <c r="E46" s="64">
        <f t="shared" si="2"/>
        <v>1.4556714914332155E-2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6"/>
      <c r="B47" s="255" t="s">
        <v>273</v>
      </c>
      <c r="C47" s="35" t="s">
        <v>248</v>
      </c>
      <c r="D47" s="59">
        <v>300000</v>
      </c>
      <c r="E47" s="60">
        <f t="shared" si="2"/>
        <v>7.2783574571660776E-3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6"/>
      <c r="B48" s="209"/>
      <c r="C48" s="47" t="s">
        <v>321</v>
      </c>
      <c r="D48" s="63">
        <f>SUM(D47)</f>
        <v>300000</v>
      </c>
      <c r="E48" s="64">
        <f t="shared" si="2"/>
        <v>7.2783574571660776E-3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6"/>
      <c r="B49" s="255" t="s">
        <v>274</v>
      </c>
      <c r="C49" s="35" t="s">
        <v>252</v>
      </c>
      <c r="D49" s="59">
        <f>100000*5</f>
        <v>500000</v>
      </c>
      <c r="E49" s="60">
        <f t="shared" si="2"/>
        <v>1.2130595761943462E-2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6"/>
      <c r="B50" s="256"/>
      <c r="C50" s="35" t="s">
        <v>335</v>
      </c>
      <c r="D50" s="59">
        <f>800000-400000</f>
        <v>400000</v>
      </c>
      <c r="E50" s="60">
        <f t="shared" si="2"/>
        <v>9.7044766095547713E-3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2.1835072371498232E-2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7" t="s">
        <v>337</v>
      </c>
      <c r="B52" s="258"/>
      <c r="C52" s="259"/>
      <c r="D52" s="62">
        <f>D38+D44+D46+D48+D51</f>
        <v>20000000</v>
      </c>
      <c r="E52" s="50">
        <f t="shared" si="2"/>
        <v>0.48522383047773854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7" t="s">
        <v>338</v>
      </c>
      <c r="B54" s="258"/>
      <c r="C54" s="259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0.24261191523886927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7" t="s">
        <v>340</v>
      </c>
      <c r="C56" s="259"/>
      <c r="D56" s="49">
        <v>10000000</v>
      </c>
      <c r="E56" s="50">
        <f t="shared" si="2"/>
        <v>0.24261191523886927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3450291</v>
      </c>
      <c r="E57" s="60">
        <f t="shared" si="2"/>
        <v>8.3708170764143344E-2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7" t="s">
        <v>339</v>
      </c>
      <c r="B58" s="258"/>
      <c r="C58" s="259"/>
      <c r="D58" s="49">
        <f>D57</f>
        <v>3450291</v>
      </c>
      <c r="E58" s="50">
        <f t="shared" si="2"/>
        <v>8.3708170764143344E-2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2" t="s">
        <v>341</v>
      </c>
      <c r="B59" s="258"/>
      <c r="C59" s="259"/>
      <c r="D59" s="73">
        <f>D24+D36+D52+D54+D58+D56</f>
        <v>41218091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59:C59"/>
    <mergeCell ref="B45:B46"/>
    <mergeCell ref="B24:C24"/>
    <mergeCell ref="A36:C36"/>
    <mergeCell ref="A58:C58"/>
    <mergeCell ref="A7:A16"/>
    <mergeCell ref="B10:C10"/>
    <mergeCell ref="A23:A24"/>
    <mergeCell ref="G29:K29"/>
    <mergeCell ref="B25:B26"/>
    <mergeCell ref="B27:B33"/>
    <mergeCell ref="A54:C54"/>
    <mergeCell ref="G30:K30"/>
    <mergeCell ref="B49:B51"/>
    <mergeCell ref="A25:A35"/>
    <mergeCell ref="B47:B48"/>
  </mergeCells>
  <phoneticPr fontId="3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abSelected="1" topLeftCell="A130" workbookViewId="0">
      <selection activeCell="H158" sqref="H158"/>
    </sheetView>
  </sheetViews>
  <sheetFormatPr defaultColWidth="14.42578125" defaultRowHeight="15"/>
  <cols>
    <col min="1" max="1" width="17.5703125" style="158" customWidth="1"/>
    <col min="2" max="2" width="18.140625" style="158" customWidth="1"/>
    <col min="3" max="3" width="17.5703125" style="158" customWidth="1"/>
    <col min="4" max="4" width="15.140625" style="158" customWidth="1"/>
    <col min="5" max="5" width="17.5703125" style="158" customWidth="1"/>
    <col min="6" max="7" width="13.85546875" style="158" customWidth="1"/>
    <col min="8" max="8" width="65.140625" style="158" customWidth="1"/>
    <col min="9" max="9" width="14.140625" style="158" customWidth="1"/>
    <col min="10" max="10" width="10.85546875" style="158" customWidth="1"/>
    <col min="11" max="11" width="14" style="158" customWidth="1"/>
    <col min="12" max="12" width="19.42578125" style="158" customWidth="1"/>
    <col min="13" max="13" width="15.42578125" style="158" customWidth="1"/>
    <col min="14" max="14" width="9.28515625" style="158" customWidth="1"/>
    <col min="15" max="15" width="8.7109375" style="158" customWidth="1"/>
    <col min="16" max="16" width="33.85546875" style="158" customWidth="1"/>
    <col min="17" max="26" width="8.7109375" style="158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5" t="s">
        <v>1</v>
      </c>
      <c r="B4" s="156" t="s">
        <v>2</v>
      </c>
      <c r="C4" s="156" t="s">
        <v>3</v>
      </c>
      <c r="D4" s="157" t="s">
        <v>4</v>
      </c>
      <c r="E4" s="157" t="s">
        <v>5</v>
      </c>
      <c r="F4" s="157" t="s">
        <v>6</v>
      </c>
      <c r="G4" s="157" t="s">
        <v>7</v>
      </c>
      <c r="H4" s="156" t="s">
        <v>8</v>
      </c>
      <c r="I4" s="156" t="s">
        <v>9</v>
      </c>
      <c r="J4" s="157" t="s">
        <v>10</v>
      </c>
      <c r="K4" s="157" t="s">
        <v>11</v>
      </c>
      <c r="L4" s="157" t="s">
        <v>12</v>
      </c>
      <c r="M4" s="157" t="s">
        <v>13</v>
      </c>
      <c r="N4" s="78" t="s">
        <v>14</v>
      </c>
    </row>
    <row r="5" spans="1:14" ht="16.5" customHeight="1">
      <c r="A5" s="120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9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9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9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9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9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9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9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9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9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9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9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9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9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9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9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9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9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9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9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9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9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9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9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9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9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9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9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9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9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9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9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9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9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9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9">
        <v>46128</v>
      </c>
      <c r="B40" s="79" t="s">
        <v>55</v>
      </c>
      <c r="C40" s="79" t="s">
        <v>56</v>
      </c>
      <c r="D40" s="86"/>
      <c r="E40" s="123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9">
        <v>46128</v>
      </c>
      <c r="B41" s="79" t="s">
        <v>55</v>
      </c>
      <c r="C41" s="79" t="s">
        <v>56</v>
      </c>
      <c r="D41" s="86"/>
      <c r="E41" s="123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9">
        <v>46128</v>
      </c>
      <c r="B42" s="79" t="s">
        <v>55</v>
      </c>
      <c r="C42" s="79" t="s">
        <v>56</v>
      </c>
      <c r="D42" s="86"/>
      <c r="E42" s="123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9">
        <v>46128</v>
      </c>
      <c r="B43" s="79" t="s">
        <v>55</v>
      </c>
      <c r="C43" s="79" t="s">
        <v>56</v>
      </c>
      <c r="D43" s="86"/>
      <c r="E43" s="123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9">
        <v>46128</v>
      </c>
      <c r="B44" s="79" t="s">
        <v>55</v>
      </c>
      <c r="C44" s="79" t="s">
        <v>56</v>
      </c>
      <c r="D44" s="86"/>
      <c r="E44" s="123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9">
        <v>46128</v>
      </c>
      <c r="B45" s="79" t="s">
        <v>55</v>
      </c>
      <c r="C45" s="79" t="s">
        <v>56</v>
      </c>
      <c r="D45" s="86"/>
      <c r="E45" s="123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9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9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9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9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9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9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9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9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9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9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9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9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9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9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2" customFormat="1" ht="16.5" customHeight="1">
      <c r="A60" s="124">
        <v>46151</v>
      </c>
      <c r="B60" s="125" t="s">
        <v>55</v>
      </c>
      <c r="C60" s="125" t="s">
        <v>56</v>
      </c>
      <c r="D60" s="126"/>
      <c r="E60" s="126">
        <v>30000</v>
      </c>
      <c r="F60" s="126"/>
      <c r="G60" s="82">
        <f>G59+Table_1[[#This Row],[수입]]-Table_1[[#This Row],[지출]]</f>
        <v>24072751</v>
      </c>
      <c r="H60" s="127" t="s">
        <v>113</v>
      </c>
      <c r="I60" s="128" t="s">
        <v>114</v>
      </c>
      <c r="J60" s="125" t="s">
        <v>41</v>
      </c>
      <c r="K60" s="125" t="s">
        <v>42</v>
      </c>
      <c r="L60" s="128"/>
      <c r="M60" s="129"/>
      <c r="N60" s="130"/>
      <c r="O60" s="131"/>
    </row>
    <row r="61" spans="1:15" ht="16.5" customHeight="1">
      <c r="A61" s="119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9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9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9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9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9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9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9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9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9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9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9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9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9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9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9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9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9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9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9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9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9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9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9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9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9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9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9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9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3"/>
    </row>
    <row r="90" spans="1:16" ht="16.5" customHeight="1">
      <c r="A90" s="119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9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9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9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9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9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9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9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9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9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9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9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9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9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9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9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9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9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9">
        <v>46223</v>
      </c>
      <c r="B108" s="79" t="s">
        <v>48</v>
      </c>
      <c r="C108" s="79" t="s">
        <v>59</v>
      </c>
      <c r="D108" s="86"/>
      <c r="E108" s="133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9">
        <v>46223</v>
      </c>
      <c r="B109" s="79" t="s">
        <v>48</v>
      </c>
      <c r="C109" s="79" t="s">
        <v>59</v>
      </c>
      <c r="D109" s="86"/>
      <c r="E109" s="133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9">
        <v>46223</v>
      </c>
      <c r="B110" s="79" t="s">
        <v>48</v>
      </c>
      <c r="C110" s="79" t="s">
        <v>59</v>
      </c>
      <c r="D110" s="86"/>
      <c r="E110" s="133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4">
        <v>46225</v>
      </c>
      <c r="B111" s="79" t="s">
        <v>48</v>
      </c>
      <c r="C111" s="136" t="s">
        <v>59</v>
      </c>
      <c r="D111" s="137"/>
      <c r="E111" s="138">
        <v>24700</v>
      </c>
      <c r="F111" s="86"/>
      <c r="G111" s="82">
        <f>G110+Table_1[[#This Row],[수입]]-Table_1[[#This Row],[지출]]</f>
        <v>25677751</v>
      </c>
      <c r="H111" s="148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9">
        <v>46225</v>
      </c>
      <c r="B112" s="79" t="s">
        <v>48</v>
      </c>
      <c r="C112" s="140" t="s">
        <v>59</v>
      </c>
      <c r="D112" s="141"/>
      <c r="E112" s="142">
        <v>15600</v>
      </c>
      <c r="F112" s="86"/>
      <c r="G112" s="82">
        <f>G111+Table_1[[#This Row],[수입]]-Table_1[[#This Row],[지출]]</f>
        <v>25662151</v>
      </c>
      <c r="H112" s="149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9">
        <v>46226</v>
      </c>
      <c r="B113" s="79" t="s">
        <v>48</v>
      </c>
      <c r="C113" s="140" t="s">
        <v>59</v>
      </c>
      <c r="D113" s="143"/>
      <c r="E113" s="142">
        <v>8400</v>
      </c>
      <c r="F113" s="86"/>
      <c r="G113" s="82">
        <f>G112+Table_1[[#This Row],[수입]]-Table_1[[#This Row],[지출]]</f>
        <v>25653751</v>
      </c>
      <c r="H113" s="150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9">
        <v>46226</v>
      </c>
      <c r="B114" s="79" t="s">
        <v>48</v>
      </c>
      <c r="C114" s="140" t="s">
        <v>59</v>
      </c>
      <c r="D114" s="143"/>
      <c r="E114" s="142">
        <v>8400</v>
      </c>
      <c r="F114" s="86"/>
      <c r="G114" s="82">
        <f>G113+Table_1[[#This Row],[수입]]-Table_1[[#This Row],[지출]]</f>
        <v>25645351</v>
      </c>
      <c r="H114" s="150" t="s">
        <v>196</v>
      </c>
      <c r="I114" s="88" t="s">
        <v>197</v>
      </c>
      <c r="J114" s="135" t="s">
        <v>37</v>
      </c>
      <c r="K114" s="135" t="s">
        <v>24</v>
      </c>
      <c r="L114" s="88"/>
      <c r="M114" s="89"/>
      <c r="N114" s="77"/>
      <c r="O114" s="94"/>
    </row>
    <row r="115" spans="1:15" ht="16.5" customHeight="1">
      <c r="A115" s="139">
        <v>46227</v>
      </c>
      <c r="B115" s="79" t="s">
        <v>48</v>
      </c>
      <c r="C115" s="140" t="s">
        <v>59</v>
      </c>
      <c r="D115" s="143"/>
      <c r="E115" s="142">
        <v>9400</v>
      </c>
      <c r="F115" s="86"/>
      <c r="G115" s="82">
        <f>G114+Table_1[[#This Row],[수입]]-Table_1[[#This Row],[지출]]</f>
        <v>25635951</v>
      </c>
      <c r="H115" s="150" t="s">
        <v>198</v>
      </c>
      <c r="I115" s="152" t="s">
        <v>194</v>
      </c>
      <c r="J115" s="140" t="s">
        <v>41</v>
      </c>
      <c r="K115" s="140" t="s">
        <v>42</v>
      </c>
      <c r="L115" s="88"/>
      <c r="M115" s="89"/>
      <c r="N115" s="77"/>
      <c r="O115" s="94"/>
    </row>
    <row r="116" spans="1:15" ht="16.5" customHeight="1">
      <c r="A116" s="139">
        <v>46230</v>
      </c>
      <c r="B116" s="79" t="s">
        <v>4</v>
      </c>
      <c r="C116" s="140" t="s">
        <v>17</v>
      </c>
      <c r="D116" s="143">
        <v>1865000</v>
      </c>
      <c r="E116" s="142"/>
      <c r="F116" s="86"/>
      <c r="G116" s="82">
        <f>G115+Table_1[[#This Row],[수입]]-Table_1[[#This Row],[지출]]</f>
        <v>27500951</v>
      </c>
      <c r="H116" s="150" t="s">
        <v>199</v>
      </c>
      <c r="I116" s="152"/>
      <c r="J116" s="140"/>
      <c r="K116" s="140"/>
      <c r="L116" s="88"/>
      <c r="M116" s="89"/>
      <c r="N116" s="77"/>
      <c r="O116" s="94"/>
    </row>
    <row r="117" spans="1:15" ht="16.5" customHeight="1">
      <c r="A117" s="139">
        <v>46231</v>
      </c>
      <c r="B117" s="79" t="s">
        <v>48</v>
      </c>
      <c r="C117" s="140" t="s">
        <v>59</v>
      </c>
      <c r="D117" s="143"/>
      <c r="E117" s="142">
        <v>23200</v>
      </c>
      <c r="F117" s="86"/>
      <c r="G117" s="82">
        <f>G116+Table_1[[#This Row],[수입]]-Table_1[[#This Row],[지출]]</f>
        <v>27477751</v>
      </c>
      <c r="H117" s="150" t="s">
        <v>200</v>
      </c>
      <c r="I117" s="152" t="s">
        <v>194</v>
      </c>
      <c r="J117" s="140" t="s">
        <v>41</v>
      </c>
      <c r="K117" s="140" t="s">
        <v>42</v>
      </c>
      <c r="L117" s="88"/>
      <c r="M117" s="89"/>
      <c r="N117" s="77"/>
      <c r="O117" s="94"/>
    </row>
    <row r="118" spans="1:15" ht="16.5" customHeight="1">
      <c r="A118" s="144">
        <v>46231</v>
      </c>
      <c r="B118" s="79" t="s">
        <v>48</v>
      </c>
      <c r="C118" s="145" t="s">
        <v>59</v>
      </c>
      <c r="D118" s="146"/>
      <c r="E118" s="147">
        <v>114000</v>
      </c>
      <c r="F118" s="86"/>
      <c r="G118" s="82">
        <f>G117+Table_1[[#This Row],[수입]]-Table_1[[#This Row],[지출]]</f>
        <v>27363751</v>
      </c>
      <c r="H118" s="151" t="s">
        <v>201</v>
      </c>
      <c r="I118" s="152" t="s">
        <v>202</v>
      </c>
      <c r="J118" s="135" t="s">
        <v>23</v>
      </c>
      <c r="K118" s="135" t="s">
        <v>24</v>
      </c>
      <c r="L118" s="88"/>
      <c r="M118" s="89"/>
      <c r="N118" s="77"/>
      <c r="O118" s="94"/>
    </row>
    <row r="119" spans="1:15" ht="16.5" customHeight="1">
      <c r="A119" s="139">
        <v>46233</v>
      </c>
      <c r="B119" s="79" t="s">
        <v>48</v>
      </c>
      <c r="C119" s="140" t="s">
        <v>59</v>
      </c>
      <c r="D119" s="143"/>
      <c r="E119" s="142">
        <v>32700</v>
      </c>
      <c r="F119" s="86"/>
      <c r="G119" s="82">
        <f>G118+Table_1[[#This Row],[수입]]-Table_1[[#This Row],[지출]]</f>
        <v>27331051</v>
      </c>
      <c r="H119" s="150" t="s">
        <v>203</v>
      </c>
      <c r="I119" s="152" t="s">
        <v>204</v>
      </c>
      <c r="J119" s="140" t="s">
        <v>37</v>
      </c>
      <c r="K119" s="140" t="s">
        <v>24</v>
      </c>
      <c r="L119" s="88"/>
      <c r="M119" s="89"/>
      <c r="N119" s="77"/>
      <c r="O119" s="94"/>
    </row>
    <row r="120" spans="1:15" ht="16.5" customHeight="1">
      <c r="A120" s="139">
        <v>46238</v>
      </c>
      <c r="B120" s="79" t="s">
        <v>48</v>
      </c>
      <c r="C120" s="140" t="s">
        <v>59</v>
      </c>
      <c r="D120" s="143"/>
      <c r="E120" s="142">
        <v>14800</v>
      </c>
      <c r="F120" s="86"/>
      <c r="G120" s="82">
        <f>G119+Table_1[[#This Row],[수입]]-Table_1[[#This Row],[지출]]</f>
        <v>27316251</v>
      </c>
      <c r="H120" s="150" t="s">
        <v>205</v>
      </c>
      <c r="I120" s="152" t="s">
        <v>206</v>
      </c>
      <c r="J120" s="140" t="s">
        <v>41</v>
      </c>
      <c r="K120" s="140" t="s">
        <v>42</v>
      </c>
      <c r="L120" s="88"/>
      <c r="M120" s="89"/>
      <c r="N120" s="77"/>
      <c r="O120" s="94"/>
    </row>
    <row r="121" spans="1:15" ht="16.5" customHeight="1">
      <c r="A121" s="139">
        <v>46238</v>
      </c>
      <c r="B121" s="79" t="s">
        <v>48</v>
      </c>
      <c r="C121" s="140" t="s">
        <v>59</v>
      </c>
      <c r="D121" s="143"/>
      <c r="E121" s="142">
        <v>11900</v>
      </c>
      <c r="F121" s="86"/>
      <c r="G121" s="82">
        <f>G120+Table_1[[#This Row],[수입]]-Table_1[[#This Row],[지출]]</f>
        <v>27304351</v>
      </c>
      <c r="H121" s="150" t="s">
        <v>205</v>
      </c>
      <c r="I121" s="152" t="s">
        <v>206</v>
      </c>
      <c r="J121" s="140" t="s">
        <v>41</v>
      </c>
      <c r="K121" s="140" t="s">
        <v>42</v>
      </c>
      <c r="L121" s="88"/>
      <c r="M121" s="89"/>
      <c r="N121" s="77"/>
      <c r="O121" s="94"/>
    </row>
    <row r="122" spans="1:15" ht="16.5" customHeight="1">
      <c r="A122" s="139">
        <v>46239</v>
      </c>
      <c r="B122" s="79" t="s">
        <v>48</v>
      </c>
      <c r="C122" s="140" t="s">
        <v>59</v>
      </c>
      <c r="D122" s="143"/>
      <c r="E122" s="142">
        <v>47000</v>
      </c>
      <c r="F122" s="86"/>
      <c r="G122" s="82">
        <f>G121+Table_1[[#This Row],[수입]]-Table_1[[#This Row],[지출]]</f>
        <v>27257351</v>
      </c>
      <c r="H122" s="150" t="s">
        <v>207</v>
      </c>
      <c r="I122" s="152" t="s">
        <v>208</v>
      </c>
      <c r="J122" s="140" t="s">
        <v>41</v>
      </c>
      <c r="K122" s="140" t="s">
        <v>42</v>
      </c>
      <c r="L122" s="88"/>
      <c r="M122" s="89"/>
      <c r="N122" s="77"/>
      <c r="O122" s="94"/>
    </row>
    <row r="123" spans="1:15" ht="16.5" customHeight="1">
      <c r="A123" s="139">
        <v>46241</v>
      </c>
      <c r="B123" s="79" t="s">
        <v>48</v>
      </c>
      <c r="C123" s="140" t="s">
        <v>59</v>
      </c>
      <c r="D123" s="143"/>
      <c r="E123" s="142">
        <v>14100</v>
      </c>
      <c r="F123" s="86"/>
      <c r="G123" s="82">
        <f>G122+Table_1[[#This Row],[수입]]-Table_1[[#This Row],[지출]]</f>
        <v>27243251</v>
      </c>
      <c r="H123" s="150" t="s">
        <v>198</v>
      </c>
      <c r="I123" s="152" t="s">
        <v>209</v>
      </c>
      <c r="J123" s="140" t="s">
        <v>41</v>
      </c>
      <c r="K123" s="140" t="s">
        <v>42</v>
      </c>
      <c r="L123" s="88"/>
      <c r="M123" s="89"/>
      <c r="N123" s="77"/>
      <c r="O123" s="94"/>
    </row>
    <row r="124" spans="1:15" ht="16.5" customHeight="1">
      <c r="A124" s="139">
        <v>46245</v>
      </c>
      <c r="B124" s="79" t="s">
        <v>48</v>
      </c>
      <c r="C124" s="140" t="s">
        <v>59</v>
      </c>
      <c r="D124" s="143"/>
      <c r="E124" s="142">
        <v>21000</v>
      </c>
      <c r="F124" s="86"/>
      <c r="G124" s="82">
        <f>G123+Table_1[[#This Row],[수입]]-Table_1[[#This Row],[지출]]</f>
        <v>27222251</v>
      </c>
      <c r="H124" s="150" t="s">
        <v>210</v>
      </c>
      <c r="I124" s="152" t="s">
        <v>211</v>
      </c>
      <c r="J124" s="140" t="s">
        <v>23</v>
      </c>
      <c r="K124" s="140" t="s">
        <v>24</v>
      </c>
      <c r="L124" s="88"/>
      <c r="M124" s="89"/>
      <c r="N124" s="77"/>
      <c r="O124" s="94"/>
    </row>
    <row r="125" spans="1:15" ht="16.5" customHeight="1">
      <c r="A125" s="139">
        <v>46245</v>
      </c>
      <c r="B125" s="79" t="s">
        <v>48</v>
      </c>
      <c r="C125" s="140" t="s">
        <v>59</v>
      </c>
      <c r="D125" s="143"/>
      <c r="E125" s="142">
        <v>16680</v>
      </c>
      <c r="F125" s="86"/>
      <c r="G125" s="82">
        <f>G124+Table_1[[#This Row],[수입]]-Table_1[[#This Row],[지출]]</f>
        <v>27205571</v>
      </c>
      <c r="H125" s="150" t="s">
        <v>212</v>
      </c>
      <c r="I125" s="152" t="s">
        <v>211</v>
      </c>
      <c r="J125" s="140" t="s">
        <v>41</v>
      </c>
      <c r="K125" s="140" t="s">
        <v>42</v>
      </c>
      <c r="L125" s="88"/>
      <c r="M125" s="89"/>
      <c r="N125" s="77"/>
      <c r="O125" s="94"/>
    </row>
    <row r="126" spans="1:15" ht="16.5" customHeight="1">
      <c r="A126" s="139">
        <v>46246</v>
      </c>
      <c r="B126" s="79" t="s">
        <v>48</v>
      </c>
      <c r="C126" s="140" t="s">
        <v>59</v>
      </c>
      <c r="D126" s="143"/>
      <c r="E126" s="142">
        <v>8000</v>
      </c>
      <c r="F126" s="86"/>
      <c r="G126" s="82">
        <f>G125+Table_1[[#This Row],[수입]]-Table_1[[#This Row],[지출]]</f>
        <v>27197571</v>
      </c>
      <c r="H126" s="150" t="s">
        <v>213</v>
      </c>
      <c r="I126" s="152" t="s">
        <v>214</v>
      </c>
      <c r="J126" s="140" t="s">
        <v>41</v>
      </c>
      <c r="K126" s="140" t="s">
        <v>42</v>
      </c>
      <c r="L126" s="88"/>
      <c r="M126" s="89"/>
      <c r="N126" s="77"/>
      <c r="O126" s="94"/>
    </row>
    <row r="127" spans="1:15" ht="16.5" customHeight="1">
      <c r="A127" s="139">
        <v>46246</v>
      </c>
      <c r="B127" s="79" t="s">
        <v>48</v>
      </c>
      <c r="C127" s="140" t="s">
        <v>59</v>
      </c>
      <c r="D127" s="143"/>
      <c r="E127" s="142">
        <v>13000</v>
      </c>
      <c r="F127" s="86"/>
      <c r="G127" s="82">
        <f>G126+Table_1[[#This Row],[수입]]-Table_1[[#This Row],[지출]]</f>
        <v>27184571</v>
      </c>
      <c r="H127" s="150" t="s">
        <v>215</v>
      </c>
      <c r="I127" s="152" t="s">
        <v>214</v>
      </c>
      <c r="J127" s="140" t="s">
        <v>41</v>
      </c>
      <c r="K127" s="140" t="s">
        <v>42</v>
      </c>
      <c r="L127" s="88"/>
      <c r="M127" s="89"/>
      <c r="N127" s="77"/>
      <c r="O127" s="94"/>
    </row>
    <row r="128" spans="1:15" ht="16.5" customHeight="1">
      <c r="A128" s="139">
        <v>46246</v>
      </c>
      <c r="B128" s="79" t="s">
        <v>48</v>
      </c>
      <c r="C128" s="140" t="s">
        <v>59</v>
      </c>
      <c r="D128" s="143"/>
      <c r="E128" s="142">
        <v>14900</v>
      </c>
      <c r="F128" s="86"/>
      <c r="G128" s="82">
        <f>G127+Table_1[[#This Row],[수입]]-Table_1[[#This Row],[지출]]</f>
        <v>27169671</v>
      </c>
      <c r="H128" s="150" t="s">
        <v>216</v>
      </c>
      <c r="I128" s="152" t="s">
        <v>214</v>
      </c>
      <c r="J128" s="140" t="s">
        <v>41</v>
      </c>
      <c r="K128" s="140" t="s">
        <v>42</v>
      </c>
      <c r="L128" s="88"/>
      <c r="M128" s="89"/>
      <c r="N128" s="77"/>
      <c r="O128" s="94"/>
    </row>
    <row r="129" spans="1:26" ht="16.5" customHeight="1">
      <c r="A129" s="139">
        <v>46246</v>
      </c>
      <c r="B129" s="79" t="s">
        <v>55</v>
      </c>
      <c r="C129" s="140" t="s">
        <v>56</v>
      </c>
      <c r="D129" s="143"/>
      <c r="E129" s="142">
        <v>298500</v>
      </c>
      <c r="F129" s="86"/>
      <c r="G129" s="82">
        <f>G128+Table_1[[#This Row],[수입]]-Table_1[[#This Row],[지출]]</f>
        <v>26871171</v>
      </c>
      <c r="H129" s="150" t="s">
        <v>217</v>
      </c>
      <c r="I129" s="152" t="s">
        <v>214</v>
      </c>
      <c r="J129" s="140" t="s">
        <v>41</v>
      </c>
      <c r="K129" s="140" t="s">
        <v>42</v>
      </c>
      <c r="L129" s="88"/>
      <c r="M129" s="89"/>
      <c r="N129" s="77"/>
      <c r="O129" s="94"/>
    </row>
    <row r="130" spans="1:26" ht="16.5" customHeight="1">
      <c r="A130" s="139">
        <v>46252</v>
      </c>
      <c r="B130" s="79" t="s">
        <v>48</v>
      </c>
      <c r="C130" s="140" t="s">
        <v>59</v>
      </c>
      <c r="D130" s="143"/>
      <c r="E130" s="142">
        <v>12600</v>
      </c>
      <c r="F130" s="86"/>
      <c r="G130" s="82">
        <f>G129+Table_1[[#This Row],[수입]]-Table_1[[#This Row],[지출]]</f>
        <v>26858571</v>
      </c>
      <c r="H130" s="150" t="s">
        <v>168</v>
      </c>
      <c r="I130" s="152" t="s">
        <v>218</v>
      </c>
      <c r="J130" s="140" t="s">
        <v>23</v>
      </c>
      <c r="K130" s="140" t="s">
        <v>24</v>
      </c>
      <c r="L130" s="88"/>
      <c r="M130" s="89"/>
      <c r="N130" s="77"/>
      <c r="O130" s="94"/>
    </row>
    <row r="131" spans="1:26" ht="16.5" customHeight="1">
      <c r="A131" s="139">
        <v>46253</v>
      </c>
      <c r="B131" s="79" t="s">
        <v>219</v>
      </c>
      <c r="C131" s="140" t="s">
        <v>220</v>
      </c>
      <c r="D131" s="143"/>
      <c r="E131" s="142">
        <v>135000</v>
      </c>
      <c r="F131" s="86"/>
      <c r="G131" s="82">
        <f>G130+Table_1[[#This Row],[수입]]-Table_1[[#This Row],[지출]]</f>
        <v>26723571</v>
      </c>
      <c r="H131" s="150" t="s">
        <v>221</v>
      </c>
      <c r="I131" s="152" t="s">
        <v>218</v>
      </c>
      <c r="J131" s="140" t="s">
        <v>37</v>
      </c>
      <c r="K131" s="140" t="s">
        <v>24</v>
      </c>
      <c r="L131" s="88"/>
      <c r="M131" s="89"/>
      <c r="N131" s="77"/>
      <c r="O131" s="94"/>
    </row>
    <row r="132" spans="1:26" ht="16.5" customHeight="1">
      <c r="A132" s="139">
        <v>46253</v>
      </c>
      <c r="B132" s="79" t="s">
        <v>222</v>
      </c>
      <c r="C132" s="140" t="s">
        <v>223</v>
      </c>
      <c r="D132" s="143"/>
      <c r="E132" s="142">
        <v>135000</v>
      </c>
      <c r="F132" s="86"/>
      <c r="G132" s="82">
        <f>G131+Table_1[[#This Row],[수입]]-Table_1[[#This Row],[지출]]</f>
        <v>26588571</v>
      </c>
      <c r="H132" s="150" t="s">
        <v>224</v>
      </c>
      <c r="I132" s="152" t="s">
        <v>218</v>
      </c>
      <c r="J132" s="140" t="s">
        <v>37</v>
      </c>
      <c r="K132" s="140" t="s">
        <v>24</v>
      </c>
      <c r="L132" s="88"/>
      <c r="M132" s="89"/>
      <c r="N132" s="77"/>
      <c r="O132" s="94"/>
    </row>
    <row r="133" spans="1:26" ht="16.5" customHeight="1">
      <c r="A133" s="139">
        <v>46253</v>
      </c>
      <c r="B133" s="79" t="s">
        <v>48</v>
      </c>
      <c r="C133" s="140" t="s">
        <v>59</v>
      </c>
      <c r="D133" s="143"/>
      <c r="E133" s="142">
        <v>19400</v>
      </c>
      <c r="F133" s="86"/>
      <c r="G133" s="82">
        <f>G132+Table_1[[#This Row],[수입]]-Table_1[[#This Row],[지출]]</f>
        <v>26569171</v>
      </c>
      <c r="H133" s="150" t="s">
        <v>225</v>
      </c>
      <c r="I133" s="152" t="s">
        <v>226</v>
      </c>
      <c r="J133" s="140" t="s">
        <v>23</v>
      </c>
      <c r="K133" s="140" t="s">
        <v>24</v>
      </c>
      <c r="L133" s="88"/>
      <c r="M133" s="89"/>
      <c r="N133" s="77"/>
      <c r="O133" s="94"/>
    </row>
    <row r="134" spans="1:26" ht="16.5" customHeight="1">
      <c r="A134" s="139">
        <v>46254</v>
      </c>
      <c r="B134" s="79" t="s">
        <v>48</v>
      </c>
      <c r="C134" s="140" t="s">
        <v>59</v>
      </c>
      <c r="D134" s="143"/>
      <c r="E134" s="142">
        <v>44000</v>
      </c>
      <c r="F134" s="86"/>
      <c r="G134" s="82">
        <f>G133+Table_1[[#This Row],[수입]]-Table_1[[#This Row],[지출]]</f>
        <v>26525171</v>
      </c>
      <c r="H134" s="150" t="s">
        <v>227</v>
      </c>
      <c r="I134" s="152" t="s">
        <v>226</v>
      </c>
      <c r="J134" s="140" t="s">
        <v>41</v>
      </c>
      <c r="K134" s="140" t="s">
        <v>42</v>
      </c>
      <c r="L134" s="88"/>
      <c r="M134" s="89"/>
      <c r="N134" s="77"/>
      <c r="O134" s="94"/>
    </row>
    <row r="135" spans="1:26" ht="16.5" customHeight="1">
      <c r="A135" s="139">
        <v>46254</v>
      </c>
      <c r="B135" s="79" t="s">
        <v>48</v>
      </c>
      <c r="C135" s="140" t="s">
        <v>59</v>
      </c>
      <c r="D135" s="143"/>
      <c r="E135" s="142">
        <v>22800</v>
      </c>
      <c r="F135" s="86"/>
      <c r="G135" s="82">
        <f>G134+Table_1[[#This Row],[수입]]-Table_1[[#This Row],[지출]]</f>
        <v>26502371</v>
      </c>
      <c r="H135" s="150" t="s">
        <v>228</v>
      </c>
      <c r="I135" s="152" t="s">
        <v>229</v>
      </c>
      <c r="J135" s="140" t="s">
        <v>41</v>
      </c>
      <c r="K135" s="140" t="s">
        <v>42</v>
      </c>
      <c r="L135" s="88"/>
      <c r="M135" s="89"/>
      <c r="N135" s="77"/>
      <c r="O135" s="94"/>
    </row>
    <row r="136" spans="1:26" ht="16.5" customHeight="1">
      <c r="A136" s="139">
        <v>46259</v>
      </c>
      <c r="B136" s="79" t="s">
        <v>48</v>
      </c>
      <c r="C136" s="140" t="s">
        <v>59</v>
      </c>
      <c r="D136" s="143"/>
      <c r="E136" s="142">
        <v>11200</v>
      </c>
      <c r="F136" s="86"/>
      <c r="G136" s="82">
        <f>G135+Table_1[[#This Row],[수입]]-Table_1[[#This Row],[지출]]</f>
        <v>26491171</v>
      </c>
      <c r="H136" s="150" t="s">
        <v>230</v>
      </c>
      <c r="I136" s="152" t="s">
        <v>229</v>
      </c>
      <c r="J136" s="140" t="s">
        <v>41</v>
      </c>
      <c r="K136" s="140" t="s">
        <v>42</v>
      </c>
      <c r="L136" s="88"/>
      <c r="M136" s="89"/>
      <c r="N136" s="77"/>
      <c r="O136" s="94"/>
    </row>
    <row r="137" spans="1:26" ht="16.5" customHeight="1">
      <c r="A137" s="139">
        <v>46261</v>
      </c>
      <c r="B137" s="79" t="s">
        <v>48</v>
      </c>
      <c r="C137" s="140" t="s">
        <v>59</v>
      </c>
      <c r="D137" s="143"/>
      <c r="E137" s="142">
        <v>16500</v>
      </c>
      <c r="F137" s="86"/>
      <c r="G137" s="82">
        <f>G136+Table_1[[#This Row],[수입]]-Table_1[[#This Row],[지출]]</f>
        <v>26474671</v>
      </c>
      <c r="H137" s="150" t="s">
        <v>231</v>
      </c>
      <c r="I137" s="152" t="s">
        <v>232</v>
      </c>
      <c r="J137" s="140" t="s">
        <v>41</v>
      </c>
      <c r="K137" s="140" t="s">
        <v>42</v>
      </c>
      <c r="L137" s="88"/>
      <c r="M137" s="89"/>
      <c r="N137" s="77"/>
      <c r="O137" s="94"/>
    </row>
    <row r="138" spans="1:26" ht="16.5" customHeight="1">
      <c r="A138" s="139">
        <v>46261</v>
      </c>
      <c r="B138" s="79" t="s">
        <v>48</v>
      </c>
      <c r="C138" s="140" t="s">
        <v>59</v>
      </c>
      <c r="D138" s="143"/>
      <c r="E138" s="142">
        <v>39500</v>
      </c>
      <c r="F138" s="86"/>
      <c r="G138" s="82">
        <f>G137+Table_1[[#This Row],[수입]]-Table_1[[#This Row],[지출]]</f>
        <v>26435171</v>
      </c>
      <c r="H138" s="150" t="s">
        <v>233</v>
      </c>
      <c r="I138" s="152" t="s">
        <v>232</v>
      </c>
      <c r="J138" s="140" t="s">
        <v>41</v>
      </c>
      <c r="K138" s="140" t="s">
        <v>42</v>
      </c>
      <c r="L138" s="88"/>
      <c r="M138" s="89"/>
      <c r="N138" s="77"/>
      <c r="O138" s="94"/>
    </row>
    <row r="139" spans="1:26" ht="16.5" customHeight="1">
      <c r="A139" s="139">
        <v>46262</v>
      </c>
      <c r="B139" s="79" t="s">
        <v>4</v>
      </c>
      <c r="C139" s="140" t="s">
        <v>17</v>
      </c>
      <c r="D139" s="143">
        <v>1870000</v>
      </c>
      <c r="E139" s="142"/>
      <c r="F139" s="86"/>
      <c r="G139" s="82">
        <f>G138+Table_1[[#This Row],[수입]]-Table_1[[#This Row],[지출]]</f>
        <v>28305171</v>
      </c>
      <c r="H139" s="150" t="s">
        <v>199</v>
      </c>
      <c r="I139" s="139">
        <v>46262</v>
      </c>
      <c r="J139" s="140" t="s">
        <v>41</v>
      </c>
      <c r="K139" s="140" t="s">
        <v>42</v>
      </c>
      <c r="L139" s="88"/>
      <c r="M139" s="89"/>
      <c r="N139" s="77"/>
      <c r="O139" s="94"/>
    </row>
    <row r="140" spans="1:26" s="178" customFormat="1" ht="16.5" customHeight="1">
      <c r="A140" s="139">
        <v>46262</v>
      </c>
      <c r="B140" s="79" t="s">
        <v>48</v>
      </c>
      <c r="C140" s="172" t="s">
        <v>59</v>
      </c>
      <c r="D140" s="173"/>
      <c r="E140" s="174">
        <v>11800</v>
      </c>
      <c r="F140" s="86"/>
      <c r="G140" s="82">
        <f>G139+Table_1[[#This Row],[수입]]-Table_1[[#This Row],[지출]]</f>
        <v>28293371</v>
      </c>
      <c r="H140" s="175"/>
      <c r="I140" s="152" t="s">
        <v>398</v>
      </c>
      <c r="J140" s="140" t="s">
        <v>23</v>
      </c>
      <c r="K140" s="140" t="s">
        <v>24</v>
      </c>
      <c r="L140" s="88"/>
      <c r="M140" s="89"/>
      <c r="N140" s="172"/>
      <c r="O140" s="176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</row>
    <row r="141" spans="1:26" ht="16.5" customHeight="1">
      <c r="A141" s="139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9">
        <v>46265</v>
      </c>
      <c r="J141" s="140" t="s">
        <v>41</v>
      </c>
      <c r="K141" s="140" t="s">
        <v>42</v>
      </c>
      <c r="L141" s="88"/>
      <c r="M141" s="89"/>
      <c r="N141" s="77"/>
      <c r="O141" s="94"/>
    </row>
    <row r="142" spans="1:26" ht="16.5" customHeight="1">
      <c r="A142" s="139">
        <v>46266</v>
      </c>
      <c r="B142" s="79" t="s">
        <v>48</v>
      </c>
      <c r="C142" s="140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2" t="s">
        <v>236</v>
      </c>
      <c r="J142" s="140" t="s">
        <v>41</v>
      </c>
      <c r="K142" s="140" t="s">
        <v>42</v>
      </c>
      <c r="L142" s="88"/>
      <c r="M142" s="89"/>
      <c r="N142" s="77"/>
      <c r="O142" s="94"/>
    </row>
    <row r="143" spans="1:26" ht="16.5" customHeight="1">
      <c r="A143" s="139">
        <v>46266</v>
      </c>
      <c r="B143" s="79" t="s">
        <v>48</v>
      </c>
      <c r="C143" s="140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2" t="s">
        <v>236</v>
      </c>
      <c r="J143" s="140" t="s">
        <v>41</v>
      </c>
      <c r="K143" s="140" t="s">
        <v>42</v>
      </c>
      <c r="L143" s="88"/>
      <c r="M143" s="89"/>
      <c r="N143" s="77"/>
      <c r="O143" s="94"/>
    </row>
    <row r="144" spans="1:26" ht="16.5" customHeight="1">
      <c r="A144" s="139">
        <v>46267</v>
      </c>
      <c r="B144" s="79" t="s">
        <v>48</v>
      </c>
      <c r="C144" s="140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386</v>
      </c>
      <c r="I144" s="152" t="s">
        <v>387</v>
      </c>
      <c r="J144" s="140" t="s">
        <v>41</v>
      </c>
      <c r="K144" s="140" t="s">
        <v>42</v>
      </c>
      <c r="L144" s="88"/>
      <c r="M144" s="89"/>
      <c r="N144" s="77"/>
      <c r="O144" s="94"/>
    </row>
    <row r="145" spans="1:15" ht="16.5" customHeight="1">
      <c r="A145" s="139">
        <v>46269</v>
      </c>
      <c r="B145" s="79" t="s">
        <v>48</v>
      </c>
      <c r="C145" s="140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388</v>
      </c>
      <c r="I145" s="152" t="s">
        <v>389</v>
      </c>
      <c r="J145" s="140" t="s">
        <v>41</v>
      </c>
      <c r="K145" s="140" t="s">
        <v>42</v>
      </c>
      <c r="L145" s="88"/>
      <c r="M145" s="89"/>
      <c r="N145" s="77"/>
      <c r="O145" s="94"/>
    </row>
    <row r="146" spans="1:15" ht="16.5" customHeight="1">
      <c r="A146" s="139">
        <v>46273</v>
      </c>
      <c r="B146" s="79" t="s">
        <v>48</v>
      </c>
      <c r="C146" s="140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390</v>
      </c>
      <c r="I146" s="152" t="s">
        <v>391</v>
      </c>
      <c r="J146" s="140" t="s">
        <v>41</v>
      </c>
      <c r="K146" s="140" t="s">
        <v>42</v>
      </c>
      <c r="L146" s="88"/>
      <c r="M146" s="89"/>
      <c r="N146" s="77"/>
      <c r="O146" s="94"/>
    </row>
    <row r="147" spans="1:15" ht="16.5" customHeight="1">
      <c r="A147" s="139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392</v>
      </c>
      <c r="I147" s="152" t="s">
        <v>391</v>
      </c>
      <c r="J147" s="140" t="s">
        <v>37</v>
      </c>
      <c r="K147" s="140" t="s">
        <v>24</v>
      </c>
      <c r="L147" s="88"/>
      <c r="M147" s="89"/>
      <c r="N147" s="77"/>
      <c r="O147" s="94"/>
    </row>
    <row r="148" spans="1:15" ht="16.5" customHeight="1">
      <c r="A148" s="139">
        <v>46275</v>
      </c>
      <c r="B148" s="79" t="s">
        <v>48</v>
      </c>
      <c r="C148" s="140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393</v>
      </c>
      <c r="I148" s="152" t="s">
        <v>394</v>
      </c>
      <c r="J148" s="140" t="s">
        <v>41</v>
      </c>
      <c r="K148" s="140" t="s">
        <v>42</v>
      </c>
      <c r="L148" s="88"/>
      <c r="M148" s="89"/>
      <c r="N148" s="77"/>
      <c r="O148" s="94"/>
    </row>
    <row r="149" spans="1:15" ht="16.5" customHeight="1">
      <c r="A149" s="139">
        <v>46276</v>
      </c>
      <c r="B149" s="79" t="s">
        <v>55</v>
      </c>
      <c r="C149" s="140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396</v>
      </c>
      <c r="I149" s="152" t="s">
        <v>397</v>
      </c>
      <c r="J149" s="140" t="s">
        <v>41</v>
      </c>
      <c r="K149" s="140" t="s">
        <v>42</v>
      </c>
      <c r="L149" s="88"/>
      <c r="M149" s="89"/>
      <c r="N149" s="77"/>
      <c r="O149" s="94"/>
    </row>
    <row r="150" spans="1:15" ht="16.5" customHeight="1">
      <c r="A150" s="139">
        <v>46279</v>
      </c>
      <c r="B150" s="79" t="s">
        <v>48</v>
      </c>
      <c r="C150" s="140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402</v>
      </c>
      <c r="I150" s="139">
        <v>46279</v>
      </c>
      <c r="J150" s="79" t="s">
        <v>399</v>
      </c>
      <c r="K150" s="79" t="s">
        <v>400</v>
      </c>
      <c r="L150" s="88"/>
      <c r="M150" s="89"/>
      <c r="N150" s="77"/>
      <c r="O150" s="94"/>
    </row>
    <row r="151" spans="1:15" ht="16.5" customHeight="1">
      <c r="A151" s="139">
        <v>46280</v>
      </c>
      <c r="B151" s="79" t="s">
        <v>48</v>
      </c>
      <c r="C151" s="140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401</v>
      </c>
      <c r="I151" s="152" t="s">
        <v>403</v>
      </c>
      <c r="J151" s="140" t="s">
        <v>23</v>
      </c>
      <c r="K151" s="140" t="s">
        <v>24</v>
      </c>
      <c r="L151" s="88"/>
      <c r="M151" s="89"/>
      <c r="N151" s="77"/>
      <c r="O151" s="94"/>
    </row>
    <row r="152" spans="1:15" ht="16.5" customHeight="1">
      <c r="A152" s="139">
        <v>46282</v>
      </c>
      <c r="B152" s="79" t="s">
        <v>48</v>
      </c>
      <c r="C152" s="140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404</v>
      </c>
      <c r="I152" s="139">
        <v>46282</v>
      </c>
      <c r="J152" s="140" t="s">
        <v>41</v>
      </c>
      <c r="K152" s="140" t="s">
        <v>42</v>
      </c>
      <c r="L152" s="88"/>
      <c r="M152" s="89"/>
      <c r="N152" s="77"/>
      <c r="O152" s="94"/>
    </row>
    <row r="153" spans="1:15" ht="16.5" customHeight="1">
      <c r="A153" s="139">
        <v>46283</v>
      </c>
      <c r="B153" s="79" t="s">
        <v>48</v>
      </c>
      <c r="C153" s="140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405</v>
      </c>
      <c r="I153" s="139">
        <v>46283</v>
      </c>
      <c r="J153" s="140" t="s">
        <v>41</v>
      </c>
      <c r="K153" s="140" t="s">
        <v>42</v>
      </c>
      <c r="L153" s="88"/>
      <c r="M153" s="89"/>
      <c r="N153" s="77"/>
      <c r="O153" s="94"/>
    </row>
    <row r="154" spans="1:15" ht="16.5" customHeight="1">
      <c r="A154" s="139">
        <v>46283</v>
      </c>
      <c r="B154" s="79" t="s">
        <v>48</v>
      </c>
      <c r="C154" s="140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406</v>
      </c>
      <c r="I154" s="139">
        <v>46283</v>
      </c>
      <c r="J154" s="140" t="s">
        <v>37</v>
      </c>
      <c r="K154" s="140" t="s">
        <v>24</v>
      </c>
      <c r="L154" s="88"/>
      <c r="M154" s="89"/>
      <c r="N154" s="77"/>
      <c r="O154" s="94"/>
    </row>
    <row r="155" spans="1:15" ht="16.5" customHeight="1">
      <c r="A155" s="139">
        <v>46283</v>
      </c>
      <c r="B155" s="79" t="s">
        <v>48</v>
      </c>
      <c r="C155" s="140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407</v>
      </c>
      <c r="I155" s="139">
        <v>46283</v>
      </c>
      <c r="J155" s="79" t="s">
        <v>399</v>
      </c>
      <c r="K155" s="79" t="s">
        <v>400</v>
      </c>
      <c r="L155" s="88"/>
      <c r="M155" s="89"/>
      <c r="N155" s="77"/>
      <c r="O155" s="94"/>
    </row>
    <row r="156" spans="1:15" ht="16.5" customHeight="1">
      <c r="A156" s="119"/>
      <c r="B156" s="79"/>
      <c r="C156" s="79"/>
      <c r="D156" s="86"/>
      <c r="E156" s="86"/>
      <c r="F156" s="86"/>
      <c r="G156" s="82"/>
      <c r="H156" s="87"/>
      <c r="I156" s="88"/>
      <c r="J156" s="79"/>
      <c r="K156" s="79"/>
      <c r="L156" s="88"/>
      <c r="M156" s="89"/>
      <c r="N156" s="77"/>
      <c r="O156" s="94"/>
    </row>
    <row r="157" spans="1:15" ht="16.5" customHeight="1">
      <c r="A157" s="119"/>
      <c r="B157" s="79"/>
      <c r="C157" s="79"/>
      <c r="D157" s="86"/>
      <c r="E157" s="86"/>
      <c r="F157" s="86"/>
      <c r="G157" s="82"/>
      <c r="H157" s="87"/>
      <c r="I157" s="88"/>
      <c r="J157" s="79"/>
      <c r="K157" s="79"/>
      <c r="L157" s="88"/>
      <c r="M157" s="89"/>
      <c r="N157" s="77"/>
      <c r="O157" s="94"/>
    </row>
    <row r="158" spans="1:15" ht="16.5" customHeight="1">
      <c r="A158" s="119"/>
      <c r="B158" s="79"/>
      <c r="C158" s="79"/>
      <c r="D158" s="86"/>
      <c r="E158" s="86"/>
      <c r="F158" s="86"/>
      <c r="G158" s="82"/>
      <c r="H158" s="87"/>
      <c r="I158" s="88"/>
      <c r="J158" s="79"/>
      <c r="K158" s="79"/>
      <c r="L158" s="88"/>
      <c r="M158" s="89"/>
      <c r="N158" s="77"/>
      <c r="O158" s="94"/>
    </row>
    <row r="159" spans="1:15" ht="16.5" customHeight="1">
      <c r="A159" s="119"/>
      <c r="B159" s="79"/>
      <c r="C159" s="79"/>
      <c r="D159" s="86"/>
      <c r="E159" s="86"/>
      <c r="F159" s="86"/>
      <c r="G159" s="82"/>
      <c r="H159" s="87"/>
      <c r="I159" s="88"/>
      <c r="J159" s="79"/>
      <c r="K159" s="79"/>
      <c r="L159" s="88"/>
      <c r="M159" s="89"/>
      <c r="N159" s="77"/>
      <c r="O159" s="94"/>
    </row>
    <row r="160" spans="1:15" ht="16.5" customHeight="1">
      <c r="A160" s="119"/>
      <c r="B160" s="79"/>
      <c r="C160" s="79"/>
      <c r="D160" s="86"/>
      <c r="E160" s="86"/>
      <c r="F160" s="86"/>
      <c r="G160" s="82"/>
      <c r="H160" s="87"/>
      <c r="I160" s="88"/>
      <c r="J160" s="79"/>
      <c r="K160" s="79"/>
      <c r="L160" s="88"/>
      <c r="M160" s="89"/>
      <c r="N160" s="77"/>
      <c r="O160" s="94"/>
    </row>
    <row r="161" spans="1:15" ht="16.5" customHeight="1">
      <c r="A161" s="119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9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9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9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9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9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9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9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9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9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9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9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9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9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96" t="s">
        <v>48</v>
      </c>
      <c r="B178" s="96" t="s">
        <v>219</v>
      </c>
      <c r="C178" s="96" t="s">
        <v>238</v>
      </c>
      <c r="D178" s="96" t="s">
        <v>222</v>
      </c>
      <c r="E178" s="96" t="s">
        <v>55</v>
      </c>
      <c r="F178" s="96" t="s">
        <v>239</v>
      </c>
      <c r="G178" s="96" t="s">
        <v>4</v>
      </c>
      <c r="H178" s="96" t="s">
        <v>19</v>
      </c>
      <c r="J178" s="121" t="s">
        <v>240</v>
      </c>
      <c r="K178" s="121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1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7" t="s">
        <v>264</v>
      </c>
      <c r="F192" s="97"/>
      <c r="G192" s="97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8">
        <f t="shared" ref="F193:F211" si="0">D193-E193</f>
        <v>2500000</v>
      </c>
      <c r="G193" s="180"/>
      <c r="L193" s="76"/>
      <c r="N193" s="77"/>
    </row>
    <row r="194" spans="1:14" ht="16.5" customHeight="1">
      <c r="A194" s="260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8">
        <f t="shared" si="0"/>
        <v>1927800</v>
      </c>
      <c r="G194" s="180"/>
      <c r="L194" s="76"/>
      <c r="N194" s="77"/>
    </row>
    <row r="195" spans="1:14" ht="16.5" customHeight="1">
      <c r="A195" s="256"/>
      <c r="B195" s="255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8">
        <f t="shared" si="0"/>
        <v>374000</v>
      </c>
      <c r="G195" s="180"/>
      <c r="L195" s="76"/>
      <c r="N195" s="77"/>
    </row>
    <row r="196" spans="1:14" ht="16.5" customHeight="1">
      <c r="A196" s="256"/>
      <c r="B196" s="256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8">
        <f t="shared" si="0"/>
        <v>1000000</v>
      </c>
      <c r="G196" s="180"/>
      <c r="L196" s="76"/>
      <c r="N196" s="77"/>
    </row>
    <row r="197" spans="1:14" ht="16.5" customHeight="1">
      <c r="A197" s="256"/>
      <c r="B197" s="256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8">
        <f t="shared" si="0"/>
        <v>24000</v>
      </c>
      <c r="G197" s="180"/>
      <c r="L197" s="76"/>
      <c r="N197" s="77"/>
    </row>
    <row r="198" spans="1:14" ht="16.5" customHeight="1">
      <c r="A198" s="256"/>
      <c r="B198" s="256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8">
        <f t="shared" si="0"/>
        <v>65000</v>
      </c>
      <c r="G198" s="180"/>
      <c r="L198" s="76"/>
      <c r="N198" s="77"/>
    </row>
    <row r="199" spans="1:14" ht="16.5" customHeight="1">
      <c r="A199" s="256"/>
      <c r="B199" s="256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8">
        <f t="shared" si="0"/>
        <v>200000</v>
      </c>
      <c r="G199" s="180"/>
      <c r="L199" s="76"/>
      <c r="N199" s="77"/>
    </row>
    <row r="200" spans="1:14" ht="16.5" customHeight="1">
      <c r="A200" s="256"/>
      <c r="B200" s="209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8">
        <f t="shared" si="0"/>
        <v>65000</v>
      </c>
      <c r="G200" s="180"/>
      <c r="L200" s="76"/>
      <c r="N200" s="77"/>
    </row>
    <row r="201" spans="1:14" ht="16.5" customHeight="1">
      <c r="A201" s="209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8">
        <f t="shared" si="0"/>
        <v>0</v>
      </c>
      <c r="G201" s="180"/>
      <c r="L201" s="76"/>
      <c r="N201" s="77"/>
    </row>
    <row r="202" spans="1:14" ht="16.5" customHeight="1">
      <c r="A202" s="260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3025360</v>
      </c>
      <c r="F202" s="268">
        <f t="shared" si="0"/>
        <v>574640</v>
      </c>
      <c r="G202" s="180"/>
      <c r="L202" s="76"/>
      <c r="N202" s="77"/>
    </row>
    <row r="203" spans="1:14" ht="16.5" customHeight="1">
      <c r="A203" s="256"/>
      <c r="B203" s="255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8">
        <f t="shared" si="0"/>
        <v>4877500</v>
      </c>
      <c r="G203" s="180"/>
      <c r="L203" s="76"/>
      <c r="N203" s="77"/>
    </row>
    <row r="204" spans="1:14" ht="16.5" customHeight="1">
      <c r="A204" s="256"/>
      <c r="B204" s="256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8">
        <f t="shared" si="0"/>
        <v>300000</v>
      </c>
      <c r="G204" s="180"/>
      <c r="L204" s="76"/>
      <c r="N204" s="77"/>
    </row>
    <row r="205" spans="1:14" ht="16.5" customHeight="1">
      <c r="A205" s="256"/>
      <c r="B205" s="256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8">
        <f t="shared" si="0"/>
        <v>4000000</v>
      </c>
      <c r="G205" s="180"/>
      <c r="L205" s="76"/>
      <c r="N205" s="77"/>
    </row>
    <row r="206" spans="1:14" ht="16.5" customHeight="1">
      <c r="A206" s="256"/>
      <c r="B206" s="256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8">
        <f t="shared" si="0"/>
        <v>2300000</v>
      </c>
      <c r="G206" s="180"/>
      <c r="L206" s="76"/>
      <c r="N206" s="77"/>
    </row>
    <row r="207" spans="1:14" ht="16.5" customHeight="1">
      <c r="A207" s="256"/>
      <c r="B207" s="209"/>
      <c r="C207" s="35" t="s">
        <v>256</v>
      </c>
      <c r="D207" s="59"/>
      <c r="E207" s="75">
        <f>SUMIF(Table_1[내용 및 목적],"후원회원행사비",Table_1[지출])</f>
        <v>0</v>
      </c>
      <c r="F207" s="268">
        <f t="shared" si="0"/>
        <v>0</v>
      </c>
      <c r="G207" s="180"/>
      <c r="L207" s="76"/>
      <c r="N207" s="77"/>
    </row>
    <row r="208" spans="1:14" ht="16.5" customHeight="1">
      <c r="A208" s="256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8">
        <f t="shared" si="0"/>
        <v>600000</v>
      </c>
      <c r="G208" s="180"/>
      <c r="L208" s="76"/>
      <c r="N208" s="77"/>
    </row>
    <row r="209" spans="1:14" ht="16.5" customHeight="1">
      <c r="A209" s="256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8">
        <f t="shared" si="0"/>
        <v>300000</v>
      </c>
      <c r="G209" s="180"/>
      <c r="L209" s="76"/>
      <c r="N209" s="77"/>
    </row>
    <row r="210" spans="1:14" ht="16.5" customHeight="1">
      <c r="A210" s="256"/>
      <c r="B210" s="255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8">
        <f t="shared" si="0"/>
        <v>500000</v>
      </c>
      <c r="G210" s="180"/>
      <c r="L210" s="76"/>
      <c r="N210" s="77"/>
    </row>
    <row r="211" spans="1:14" ht="16.5" customHeight="1">
      <c r="A211" s="209"/>
      <c r="B211" s="209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8">
        <f t="shared" si="0"/>
        <v>400000</v>
      </c>
      <c r="G211" s="180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52:O54"/>
    <mergeCell ref="F197:G197"/>
    <mergeCell ref="F203:G203"/>
    <mergeCell ref="F204:G204"/>
    <mergeCell ref="A194:A201"/>
    <mergeCell ref="F201:G201"/>
    <mergeCell ref="F210:G210"/>
    <mergeCell ref="F200:G200"/>
    <mergeCell ref="F207:G207"/>
    <mergeCell ref="B195:B200"/>
    <mergeCell ref="F206:G206"/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</mergeCells>
  <phoneticPr fontId="34" type="noConversion"/>
  <dataValidations count="4">
    <dataValidation type="list" allowBlank="1" showErrorMessage="1" sqref="C5:C107 C141 C147 C156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55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topLeftCell="A9" workbookViewId="0">
      <selection activeCell="J14" sqref="J14"/>
    </sheetView>
  </sheetViews>
  <sheetFormatPr defaultColWidth="14.42578125" defaultRowHeight="15"/>
  <cols>
    <col min="1" max="1" width="3.28515625" style="158" customWidth="1"/>
    <col min="2" max="2" width="11.42578125" style="158" customWidth="1"/>
    <col min="3" max="7" width="13.28515625" style="158" customWidth="1"/>
    <col min="8" max="8" width="57.28515625" style="158" customWidth="1"/>
    <col min="9" max="9" width="9" style="158" customWidth="1"/>
    <col min="10" max="10" width="17.140625" style="158" customWidth="1"/>
    <col min="11" max="26" width="8.7109375" style="158" customWidth="1"/>
  </cols>
  <sheetData>
    <row r="1" spans="1:26" ht="12.75" customHeight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33" customHeight="1">
      <c r="A2" s="98"/>
      <c r="B2" s="270" t="s">
        <v>342</v>
      </c>
      <c r="C2" s="258"/>
      <c r="D2" s="258"/>
      <c r="E2" s="258"/>
      <c r="F2" s="258"/>
      <c r="G2" s="258"/>
      <c r="H2" s="25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 spans="1:26" ht="12" customHeight="1">
      <c r="A3" s="98"/>
      <c r="B3" s="99"/>
      <c r="C3" s="99"/>
      <c r="D3" s="99"/>
      <c r="E3" s="99"/>
      <c r="F3" s="99"/>
      <c r="G3" s="99"/>
      <c r="H3" s="99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 spans="1:26" ht="12" customHeight="1">
      <c r="A4" s="98"/>
      <c r="B4" s="99"/>
      <c r="C4" s="99"/>
      <c r="D4" s="99"/>
      <c r="E4" s="99"/>
      <c r="F4" s="99"/>
      <c r="G4" s="99"/>
      <c r="H4" s="99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 spans="1:26" ht="28.5" customHeight="1">
      <c r="A5" s="98"/>
      <c r="B5" s="100"/>
      <c r="C5" s="101" t="s">
        <v>343</v>
      </c>
      <c r="D5" s="102" t="s">
        <v>344</v>
      </c>
      <c r="E5" s="102" t="s">
        <v>345</v>
      </c>
      <c r="F5" s="102" t="s">
        <v>346</v>
      </c>
      <c r="G5" s="101" t="s">
        <v>347</v>
      </c>
      <c r="H5" s="101" t="s">
        <v>348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 spans="1:26" ht="28.5" customHeight="1">
      <c r="A6" s="98"/>
      <c r="B6" s="101" t="s">
        <v>349</v>
      </c>
      <c r="C6" s="103">
        <v>45</v>
      </c>
      <c r="D6" s="103">
        <v>189</v>
      </c>
      <c r="E6" s="104">
        <f t="shared" ref="E6:E13" si="0">C6*20000</f>
        <v>900000</v>
      </c>
      <c r="F6" s="104">
        <f>189*5000+5000</f>
        <v>950000</v>
      </c>
      <c r="G6" s="105">
        <f>SUM(E6:F6)</f>
        <v>1850000</v>
      </c>
      <c r="H6" s="106" t="s">
        <v>350</v>
      </c>
      <c r="I6" s="98"/>
      <c r="J6" s="107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 spans="1:26" ht="28.5" customHeight="1">
      <c r="A7" s="98"/>
      <c r="B7" s="101" t="s">
        <v>351</v>
      </c>
      <c r="C7" s="103">
        <v>46</v>
      </c>
      <c r="D7" s="103">
        <v>186</v>
      </c>
      <c r="E7" s="104">
        <f t="shared" si="0"/>
        <v>920000</v>
      </c>
      <c r="F7" s="104">
        <f t="shared" ref="F7:F13" si="1">D7*5000+5000</f>
        <v>935000</v>
      </c>
      <c r="G7" s="105">
        <f t="shared" ref="G7:G13" si="2">E7+F7</f>
        <v>1855000</v>
      </c>
      <c r="H7" s="106" t="s">
        <v>352</v>
      </c>
      <c r="I7" s="98"/>
      <c r="J7" s="107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spans="1:26" ht="28.5" customHeight="1">
      <c r="A8" s="98"/>
      <c r="B8" s="101" t="s">
        <v>353</v>
      </c>
      <c r="C8" s="103">
        <v>46</v>
      </c>
      <c r="D8" s="103">
        <v>185</v>
      </c>
      <c r="E8" s="104">
        <f t="shared" si="0"/>
        <v>920000</v>
      </c>
      <c r="F8" s="104">
        <f t="shared" si="1"/>
        <v>930000</v>
      </c>
      <c r="G8" s="105">
        <f t="shared" si="2"/>
        <v>1850000</v>
      </c>
      <c r="H8" s="106" t="s">
        <v>354</v>
      </c>
      <c r="I8" s="98"/>
      <c r="J8" s="107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spans="1:26" ht="28.5" customHeight="1">
      <c r="A9" s="98"/>
      <c r="B9" s="101" t="s">
        <v>355</v>
      </c>
      <c r="C9" s="103">
        <v>46</v>
      </c>
      <c r="D9" s="108">
        <v>186</v>
      </c>
      <c r="E9" s="104">
        <f t="shared" si="0"/>
        <v>920000</v>
      </c>
      <c r="F9" s="104">
        <f t="shared" si="1"/>
        <v>935000</v>
      </c>
      <c r="G9" s="105">
        <f t="shared" si="2"/>
        <v>1855000</v>
      </c>
      <c r="H9" s="106" t="s">
        <v>356</v>
      </c>
      <c r="I9" s="98"/>
      <c r="J9" s="107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28.5" customHeight="1">
      <c r="A10" s="98"/>
      <c r="B10" s="101" t="s">
        <v>357</v>
      </c>
      <c r="C10" s="103">
        <v>46</v>
      </c>
      <c r="D10" s="108">
        <v>187</v>
      </c>
      <c r="E10" s="104">
        <f t="shared" si="0"/>
        <v>920000</v>
      </c>
      <c r="F10" s="104">
        <f t="shared" si="1"/>
        <v>940000</v>
      </c>
      <c r="G10" s="105">
        <f t="shared" si="2"/>
        <v>1860000</v>
      </c>
      <c r="H10" s="106" t="s">
        <v>358</v>
      </c>
      <c r="I10" s="98"/>
      <c r="J10" s="107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28.5" customHeight="1">
      <c r="A11" s="98"/>
      <c r="B11" s="101" t="s">
        <v>359</v>
      </c>
      <c r="C11" s="103">
        <v>46</v>
      </c>
      <c r="D11" s="103">
        <v>187</v>
      </c>
      <c r="E11" s="104">
        <f t="shared" si="0"/>
        <v>920000</v>
      </c>
      <c r="F11" s="104">
        <f t="shared" si="1"/>
        <v>940000</v>
      </c>
      <c r="G11" s="105">
        <f t="shared" si="2"/>
        <v>1860000</v>
      </c>
      <c r="H11" s="106" t="s">
        <v>360</v>
      </c>
      <c r="I11" s="98"/>
      <c r="J11" s="107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28.5" customHeight="1">
      <c r="A12" s="98"/>
      <c r="B12" s="101" t="s">
        <v>361</v>
      </c>
      <c r="C12" s="103">
        <v>46</v>
      </c>
      <c r="D12" s="103">
        <v>188</v>
      </c>
      <c r="E12" s="104">
        <f t="shared" si="0"/>
        <v>920000</v>
      </c>
      <c r="F12" s="104">
        <f t="shared" si="1"/>
        <v>945000</v>
      </c>
      <c r="G12" s="105">
        <f t="shared" si="2"/>
        <v>1865000</v>
      </c>
      <c r="H12" s="106" t="s">
        <v>362</v>
      </c>
      <c r="I12" s="98"/>
      <c r="J12" s="107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28.5" customHeight="1">
      <c r="A13" s="98"/>
      <c r="B13" s="101" t="s">
        <v>363</v>
      </c>
      <c r="C13" s="103">
        <v>46</v>
      </c>
      <c r="D13" s="103">
        <v>189</v>
      </c>
      <c r="E13" s="104">
        <f t="shared" si="0"/>
        <v>920000</v>
      </c>
      <c r="F13" s="104">
        <f t="shared" si="1"/>
        <v>950000</v>
      </c>
      <c r="G13" s="105">
        <f t="shared" si="2"/>
        <v>1870000</v>
      </c>
      <c r="H13" s="106" t="s">
        <v>364</v>
      </c>
      <c r="I13" s="98"/>
      <c r="J13" s="107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28.5" customHeight="1">
      <c r="A14" s="98"/>
      <c r="B14" s="101" t="s">
        <v>365</v>
      </c>
      <c r="C14" s="103"/>
      <c r="D14" s="103"/>
      <c r="E14" s="104"/>
      <c r="F14" s="104"/>
      <c r="G14" s="105"/>
      <c r="H14" s="106" t="s">
        <v>395</v>
      </c>
      <c r="I14" s="98"/>
      <c r="J14" s="10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28.5" customHeight="1">
      <c r="A15" s="98"/>
      <c r="B15" s="101" t="s">
        <v>366</v>
      </c>
      <c r="C15" s="103"/>
      <c r="D15" s="103"/>
      <c r="E15" s="104"/>
      <c r="F15" s="104"/>
      <c r="G15" s="105"/>
      <c r="H15" s="106"/>
      <c r="I15" s="98"/>
      <c r="J15" s="107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 spans="1:26" ht="28.5" customHeight="1">
      <c r="A16" s="98"/>
      <c r="B16" s="101" t="s">
        <v>367</v>
      </c>
      <c r="C16" s="103"/>
      <c r="D16" s="103"/>
      <c r="E16" s="104"/>
      <c r="F16" s="104"/>
      <c r="G16" s="105"/>
      <c r="H16" s="106"/>
      <c r="I16" s="98"/>
      <c r="J16" s="107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spans="1:26" ht="28.5" customHeight="1">
      <c r="A17" s="98"/>
      <c r="B17" s="101" t="s">
        <v>368</v>
      </c>
      <c r="C17" s="103"/>
      <c r="D17" s="103"/>
      <c r="E17" s="104"/>
      <c r="F17" s="104"/>
      <c r="G17" s="105"/>
      <c r="H17" s="106"/>
      <c r="I17" s="98"/>
      <c r="J17" s="107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spans="1:26" ht="26.25" customHeight="1">
      <c r="A18" s="98"/>
      <c r="B18" s="109" t="s">
        <v>369</v>
      </c>
      <c r="C18" s="103"/>
      <c r="D18" s="103"/>
      <c r="E18" s="110">
        <f>SUM(E6:E17)</f>
        <v>7340000</v>
      </c>
      <c r="F18" s="110">
        <f>SUM(F6:F17)</f>
        <v>7525000</v>
      </c>
      <c r="G18" s="110">
        <f>SUM(G6:G17)</f>
        <v>14865000</v>
      </c>
      <c r="H18" s="111"/>
      <c r="I18" s="98"/>
      <c r="J18" s="107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spans="1:26" ht="46.5" customHeigh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spans="1:26" ht="27" customHeight="1">
      <c r="A20" s="98"/>
      <c r="B20" s="116" t="s">
        <v>370</v>
      </c>
      <c r="C20" s="113"/>
      <c r="D20" s="113"/>
      <c r="E20" s="114"/>
      <c r="F20" s="114"/>
      <c r="G20" s="154">
        <f>SUMIFS('3. 5기 수입지출장부'!$D$5:$D$2004,'3. 5기 수입지출장부'!$C$5:$C$2004,"재정사업")</f>
        <v>3308400</v>
      </c>
      <c r="H20" s="111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spans="1:26" ht="3.75" customHeight="1">
      <c r="A21" s="98"/>
      <c r="B21" s="112"/>
      <c r="C21" s="113"/>
      <c r="D21" s="113"/>
      <c r="E21" s="114"/>
      <c r="F21" s="114"/>
      <c r="G21" s="115"/>
      <c r="H21" s="111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spans="1:26" ht="22.5" customHeight="1">
      <c r="A22" s="98"/>
      <c r="B22" s="116" t="s">
        <v>371</v>
      </c>
      <c r="C22" s="113"/>
      <c r="D22" s="113"/>
      <c r="E22" s="114"/>
      <c r="F22" s="114"/>
      <c r="G22" s="154">
        <f>SUMIFS('3. 5기 수입지출장부'!$D$5:$D$2004,'3. 5기 수입지출장부'!$C$5:$C$2004,"이자수입")</f>
        <v>13300</v>
      </c>
      <c r="H22" s="111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spans="1:26" ht="5.2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spans="1:26" ht="24" customHeight="1">
      <c r="A24" s="98"/>
      <c r="B24" s="116" t="s">
        <v>372</v>
      </c>
      <c r="C24" s="113"/>
      <c r="D24" s="113"/>
      <c r="E24" s="114"/>
      <c r="F24" s="114"/>
      <c r="G24" s="154">
        <f>G18+G20+G22</f>
        <v>18186700</v>
      </c>
      <c r="H24" s="109" t="s">
        <v>373</v>
      </c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 spans="1:26" ht="12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spans="1:26" ht="12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 spans="1:26" ht="12.75" customHeight="1">
      <c r="A27" s="98"/>
      <c r="B27" s="117"/>
      <c r="C27" s="98"/>
      <c r="D27" s="98"/>
      <c r="E27" s="98"/>
      <c r="F27" s="98"/>
      <c r="G27" s="11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 spans="1:26" ht="12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 spans="1:26" ht="12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 spans="1:26" ht="12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 spans="1:26" ht="12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 spans="1:26" ht="12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 spans="1:26" ht="12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 spans="1:26" ht="12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 spans="1:26" ht="12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 spans="1:26" ht="12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 spans="1:26" ht="12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 spans="1:26" ht="12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 spans="1:26" ht="12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 spans="1:26" ht="12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 spans="1:26" ht="12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 spans="1:26" ht="12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 spans="1:26" ht="12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 spans="1:26" ht="12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 spans="1:26" ht="12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 spans="1:26" ht="12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 spans="1:26" ht="12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 spans="1:26" ht="12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 spans="1:26" ht="12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 spans="1:26" ht="12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 spans="1:26" ht="12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 spans="1:26" ht="12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 spans="1:26" ht="12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 spans="1:26" ht="12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 spans="1:26" ht="12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 spans="1:26" ht="12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 spans="1:26" ht="12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 spans="1:26" ht="12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 spans="1:26" ht="12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 spans="1:26" ht="12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 spans="1:26" ht="12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 spans="1:26" ht="12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 spans="1:26" ht="12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 spans="1:26" ht="12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 spans="1:26" ht="12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 spans="1:26" ht="12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 spans="1:26" ht="12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 spans="1:26" ht="12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 spans="1:26" ht="12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 spans="1:26" ht="12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 spans="1:26" ht="12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 spans="1:26" ht="12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 spans="1:26" ht="12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 spans="1:26" ht="12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 spans="1:26" ht="12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 spans="1:26" ht="12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 spans="1:26" ht="12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 spans="1:26" ht="12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 spans="1:26" ht="12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 spans="1:26" ht="12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 spans="1:26" ht="12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 spans="1:26" ht="12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 spans="1:26" ht="12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 spans="1:26" ht="12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 spans="1:26" ht="12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 spans="1:26" ht="12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 spans="1:26" ht="12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 spans="1:26" ht="12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 spans="1:26" ht="12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 spans="1:26" ht="12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 spans="1:26" ht="12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 spans="1:26" ht="12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 spans="1:26" ht="12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 spans="1:26" ht="12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 spans="1:26" ht="12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 spans="1:26" ht="12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 spans="1:26" ht="12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 spans="1:26" ht="12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 spans="1:26" ht="12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 spans="1:26" ht="12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 spans="1:26" ht="12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 spans="1:26" ht="12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 spans="1:26" ht="12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 spans="1:26" ht="12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 spans="1:26" ht="12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 spans="1:26" ht="12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 spans="1:26" ht="12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 spans="1:26" ht="12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 spans="1:26" ht="12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 spans="1:26" ht="12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 spans="1:26" ht="12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 spans="1:26" ht="12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 spans="1:26" ht="12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 spans="1:26" ht="12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 spans="1:26" ht="12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 spans="1:26" ht="12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 spans="1:26" ht="12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 spans="1:26" ht="12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 spans="1:26" ht="12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 spans="1:26" ht="12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 spans="1:26" ht="12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 spans="1:26" ht="12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 spans="1:26" ht="12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 spans="1:26" ht="12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 spans="1:26" ht="12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 spans="1:26" ht="12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 spans="1:26" ht="12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 spans="1:26" ht="12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 spans="1:26" ht="12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 spans="1:26" ht="12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 spans="1:26" ht="12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 spans="1:26" ht="12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 spans="1:26" ht="12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 spans="1:26" ht="12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 spans="1:26" ht="12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 spans="1:26" ht="12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 spans="1:26" ht="12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 spans="1:26" ht="12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 spans="1:26" ht="12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 spans="1:26" ht="12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 spans="1:26" ht="12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 spans="1:26" ht="12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 spans="1:26" ht="12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 spans="1:26" ht="12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 spans="1:26" ht="12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 spans="1:26" ht="12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 spans="1:26" ht="12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 spans="1:26" ht="12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 spans="1:26" ht="12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 spans="1:26" ht="12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 spans="1:26" ht="12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 spans="1:26" ht="12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 spans="1:26" ht="12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 spans="1:26" ht="12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 spans="1:26" ht="12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 spans="1:26" ht="12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 spans="1:26" ht="12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 spans="1:26" ht="12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 spans="1:26" ht="12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 spans="1:26" ht="12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 spans="1:26" ht="12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 spans="1:26" ht="12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 spans="1:26" ht="12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 spans="1:26" ht="12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 spans="1:26" ht="12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 spans="1:26" ht="12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 spans="1:26" ht="12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 spans="1:26" ht="12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 spans="1:26" ht="12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 spans="1:26" ht="12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 spans="1:26" ht="12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 spans="1:26" ht="12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 spans="1:26" ht="12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 spans="1:26" ht="12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 spans="1:26" ht="12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 spans="1:26" ht="12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 spans="1:26" ht="12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 spans="1:26" ht="12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 spans="1:26" ht="12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 spans="1:26" ht="12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 spans="1:26" ht="12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 spans="1:26" ht="12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 spans="1:26" ht="12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 spans="1:26" ht="12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 spans="1:26" ht="12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 spans="1:26" ht="12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 spans="1:26" ht="12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 spans="1:26" ht="12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 spans="1:26" ht="12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 spans="1:26" ht="12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 spans="1:26" ht="12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 spans="1:26" ht="12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 spans="1:26" ht="12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 spans="1:26" ht="12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 spans="1:26" ht="12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 spans="1:26" ht="12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 spans="1:26" ht="12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 spans="1:26" ht="12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 spans="1:26" ht="12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 spans="1:26" ht="12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 spans="1:26" ht="12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 spans="1:26" ht="12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 spans="1:26" ht="12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 spans="1:26" ht="12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 spans="1:26" ht="12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 spans="1:26" ht="12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 spans="1:26" ht="12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 spans="1:26" ht="12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 spans="1:26" ht="12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 spans="1:26" ht="12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 spans="1:26" ht="12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 spans="1:26" ht="12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 spans="1:26" ht="12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 spans="1:26" ht="12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 spans="1:26" ht="12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 spans="1:26" ht="12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 spans="1:26" ht="12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 spans="1:26" ht="12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 spans="1:26" ht="12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 spans="1:26" ht="12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 spans="1:26" ht="12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 spans="1:26" ht="12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 spans="1:26" ht="12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 spans="1:26" ht="12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 spans="1:26" ht="12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 spans="1:26" ht="12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 spans="1:26" ht="12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 spans="1:26" ht="12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 spans="1:26" ht="12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 spans="1:26" ht="12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 spans="1:26" ht="12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 spans="1:26" ht="12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 spans="1:26" ht="12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 spans="1:26" ht="12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 spans="1:26" ht="12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 spans="1:26" ht="12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 spans="1:26" ht="12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 spans="1:26" ht="12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 spans="1:26" ht="12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 spans="1:26" ht="12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 spans="1:26" ht="12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 spans="1:26" ht="12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 spans="1:26" ht="12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 spans="1:26" ht="12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 spans="1:26" ht="12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 spans="1:26" ht="12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 spans="1:26" ht="12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 spans="1:26" ht="12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 spans="1:26" ht="12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 spans="1:26" ht="12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 spans="1:26" ht="12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 spans="1:26" ht="12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 spans="1:26" ht="12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 spans="1:26" ht="12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 spans="1:26" ht="12.75" customHeight="1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 spans="1:26" ht="12.75" customHeight="1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 spans="1:26" ht="12.75" customHeight="1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 spans="1:26" ht="12.75" customHeight="1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 spans="1:26" ht="12.75" customHeight="1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 spans="1:26" ht="12.75" customHeight="1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 spans="1:26" ht="12.75" customHeight="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 spans="1:26" ht="12.75" customHeight="1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 spans="1:26" ht="12.75" customHeight="1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 spans="1:26" ht="12.75" customHeight="1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 spans="1:26" ht="12.75" customHeight="1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 spans="1:26" ht="12.75" customHeight="1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 spans="1:26" ht="12.75" customHeight="1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 spans="1:26" ht="12.75" customHeight="1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 spans="1:26" ht="12.75" customHeight="1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 spans="1:26" ht="12.75" customHeight="1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 spans="1:26" ht="12.75" customHeight="1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 spans="1:26" ht="12.75" customHeight="1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 spans="1:26" ht="12.75" customHeight="1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 spans="1:26" ht="12.75" customHeight="1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 spans="1:26" ht="12.75" customHeight="1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 spans="1:26" ht="12.75" customHeight="1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 spans="1:26" ht="12.75" customHeight="1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 spans="1:26" ht="12.75" customHeight="1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 spans="1:26" ht="12.75" customHeight="1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 spans="1:26" ht="12.75" customHeight="1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 spans="1:26" ht="12.75" customHeight="1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 spans="1:26" ht="12.75" customHeight="1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 spans="1:26" ht="12.75" customHeight="1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 spans="1:26" ht="12.75" customHeight="1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 spans="1:26" ht="12.75" customHeight="1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 spans="1:26" ht="12.75" customHeight="1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 spans="1:26" ht="12.75" customHeight="1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 spans="1:26" ht="12.75" customHeight="1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 spans="1:26" ht="12.75" customHeight="1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 spans="1:26" ht="12.75" customHeight="1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 spans="1:26" ht="12.75" customHeight="1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 spans="1:26" ht="12.75" customHeight="1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 spans="1:26" ht="12.75" customHeight="1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 spans="1:26" ht="12.75" customHeight="1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 spans="1:26" ht="12.75" customHeight="1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 spans="1:26" ht="12.75" customHeight="1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 spans="1:26" ht="12.75" customHeight="1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 spans="1:26" ht="12.75" customHeight="1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 spans="1:26" ht="12.75" customHeight="1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 spans="1:26" ht="12.75" customHeight="1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 spans="1:26" ht="12.75" customHeight="1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 spans="1:26" ht="12.75" customHeight="1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 spans="1:26" ht="12.75" customHeight="1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 spans="1:26" ht="12.75" customHeight="1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 spans="1:26" ht="12.75" customHeight="1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 spans="1:26" ht="12.75" customHeight="1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 spans="1:26" ht="12.75" customHeight="1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 spans="1:26" ht="12.75" customHeight="1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 spans="1:26" ht="12.75" customHeight="1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 spans="1:26" ht="12.75" customHeight="1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 spans="1:26" ht="12.75" customHeight="1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 spans="1:26" ht="12.75" customHeight="1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 spans="1:26" ht="12.75" customHeight="1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 spans="1:26" ht="12.75" customHeight="1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 spans="1:26" ht="12.75" customHeight="1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 spans="1:26" ht="12.75" customHeight="1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 spans="1:26" ht="12.75" customHeight="1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 spans="1:26" ht="12.75" customHeight="1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 spans="1:26" ht="12.75" customHeight="1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 spans="1:26" ht="12.75" customHeight="1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 spans="1:26" ht="12.75" customHeight="1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 spans="1:26" ht="12.75" customHeight="1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 spans="1:26" ht="12.75" customHeight="1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 spans="1:26" ht="12.75" customHeight="1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 spans="1:26" ht="12.75" customHeight="1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 spans="1:26" ht="12.75" customHeight="1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 spans="1:26" ht="12.75" customHeight="1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 spans="1:26" ht="12.75" customHeight="1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 spans="1:26" ht="12.75" customHeight="1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 spans="1:26" ht="12.75" customHeight="1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 spans="1:26" ht="12.75" customHeight="1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 spans="1:26" ht="12.75" customHeight="1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 spans="1:26" ht="12.75" customHeight="1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 spans="1:26" ht="12.75" customHeight="1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 spans="1:26" ht="12.75" customHeight="1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 spans="1:26" ht="12.75" customHeight="1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 spans="1:26" ht="12.75" customHeight="1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 spans="1:26" ht="12.75" customHeight="1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 spans="1:26" ht="12.75" customHeight="1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 spans="1:26" ht="12.75" customHeight="1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 spans="1:26" ht="12.75" customHeight="1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 spans="1:26" ht="12.75" customHeight="1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 spans="1:26" ht="12.75" customHeight="1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 spans="1:26" ht="12.75" customHeight="1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 spans="1:26" ht="12.75" customHeight="1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 spans="1:26" ht="12.75" customHeight="1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 spans="1:26" ht="12.75" customHeight="1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 spans="1:26" ht="12.75" customHeight="1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 spans="1:26" ht="12.75" customHeight="1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 spans="1:26" ht="12.75" customHeight="1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 spans="1:26" ht="12.75" customHeight="1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 spans="1:26" ht="12.75" customHeight="1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 spans="1:26" ht="12.75" customHeight="1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 spans="1:26" ht="12.75" customHeight="1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 spans="1:26" ht="12.75" customHeight="1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 spans="1:26" ht="12.75" customHeight="1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 spans="1:26" ht="12.75" customHeight="1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 spans="1:26" ht="12.75" customHeight="1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 spans="1:26" ht="12.75" customHeight="1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 spans="1:26" ht="12.75" customHeight="1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 spans="1:26" ht="12.75" customHeight="1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 spans="1:26" ht="12.75" customHeight="1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 spans="1:26" ht="12.75" customHeight="1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 spans="1:26" ht="12.75" customHeight="1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 spans="1:26" ht="12.75" customHeight="1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 spans="1:26" ht="12.75" customHeight="1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 spans="1:26" ht="12.75" customHeight="1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 spans="1:26" ht="12.75" customHeight="1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 spans="1:26" ht="12.75" customHeight="1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 spans="1:26" ht="12.75" customHeight="1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 spans="1:26" ht="12.75" customHeight="1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 spans="1:26" ht="12.75" customHeight="1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 spans="1:26" ht="12.75" customHeight="1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 spans="1:26" ht="12.75" customHeight="1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 spans="1:26" ht="12.75" customHeight="1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 spans="1:26" ht="12.75" customHeight="1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 spans="1:26" ht="12.75" customHeight="1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 spans="1:26" ht="12.75" customHeight="1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 spans="1:26" ht="12.75" customHeight="1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 spans="1:26" ht="12.75" customHeight="1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 spans="1:26" ht="12.75" customHeight="1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 spans="1:26" ht="12.75" customHeight="1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 spans="1:26" ht="12.75" customHeight="1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 spans="1:26" ht="12.75" customHeight="1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 spans="1:26" ht="12.75" customHeight="1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 spans="1:26" ht="12.75" customHeight="1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 spans="1:26" ht="12.75" customHeight="1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 spans="1:26" ht="12.75" customHeight="1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 spans="1:26" ht="12.75" customHeight="1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 spans="1:26" ht="12.75" customHeight="1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 spans="1:26" ht="12.75" customHeight="1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 spans="1:26" ht="12.75" customHeight="1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 spans="1:26" ht="12.75" customHeight="1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 spans="1:26" ht="12.75" customHeight="1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 spans="1:26" ht="12.75" customHeight="1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 spans="1:26" ht="12.75" customHeight="1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 spans="1:26" ht="12.75" customHeight="1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 spans="1:26" ht="12.75" customHeight="1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 spans="1:26" ht="12.75" customHeight="1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 spans="1:26" ht="12.75" customHeight="1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 spans="1:26" ht="12.75" customHeight="1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 spans="1:26" ht="12.75" customHeight="1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 spans="1:26" ht="12.75" customHeight="1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 spans="1:26" ht="12.75" customHeight="1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 spans="1:26" ht="12.75" customHeight="1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 spans="1:26" ht="12.75" customHeight="1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 spans="1:26" ht="12.75" customHeight="1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 spans="1:26" ht="12.75" customHeight="1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 spans="1:26" ht="12.75" customHeight="1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 spans="1:26" ht="12.75" customHeight="1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 spans="1:26" ht="12.75" customHeight="1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 spans="1:26" ht="12.75" customHeight="1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 spans="1:26" ht="12.75" customHeight="1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 spans="1:26" ht="12.75" customHeight="1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 spans="1:26" ht="12.75" customHeight="1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 spans="1:26" ht="12.75" customHeight="1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 spans="1:26" ht="12.75" customHeight="1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 spans="1:26" ht="12.75" customHeight="1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 spans="1:26" ht="12.75" customHeight="1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 spans="1:26" ht="12.75" customHeight="1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 spans="1:26" ht="12.75" customHeight="1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 spans="1:26" ht="12.75" customHeight="1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 spans="1:26" ht="12.75" customHeight="1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 spans="1:26" ht="12.75" customHeight="1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 spans="1:26" ht="12.75" customHeight="1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 spans="1:26" ht="12.75" customHeight="1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 spans="1:26" ht="12.75" customHeight="1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 spans="1:26" ht="12.75" customHeight="1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 spans="1:26" ht="12.75" customHeight="1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 spans="1:26" ht="12.75" customHeight="1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 spans="1:26" ht="12.75" customHeight="1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 spans="1:26" ht="12.75" customHeight="1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 spans="1:26" ht="12.75" customHeight="1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 spans="1:26" ht="12.75" customHeight="1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 spans="1:26" ht="12.75" customHeight="1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 spans="1:26" ht="12.75" customHeight="1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 spans="1:26" ht="12.75" customHeight="1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 spans="1:26" ht="12.75" customHeight="1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 spans="1:26" ht="12.75" customHeight="1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 spans="1:26" ht="12.75" customHeight="1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 spans="1:26" ht="12.75" customHeight="1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 spans="1:26" ht="12.75" customHeight="1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 spans="1:26" ht="12.75" customHeight="1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 spans="1:26" ht="12.75" customHeight="1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 spans="1:26" ht="12.75" customHeight="1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 spans="1:26" ht="12.75" customHeight="1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 spans="1:26" ht="12.75" customHeight="1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 spans="1:26" ht="12.75" customHeight="1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 spans="1:26" ht="12.75" customHeight="1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 spans="1:26" ht="12.75" customHeight="1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 spans="1:26" ht="12.75" customHeight="1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 spans="1:26" ht="12.75" customHeight="1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 spans="1:26" ht="12.75" customHeight="1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 spans="1:26" ht="12.75" customHeight="1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 spans="1:26" ht="12.75" customHeight="1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 spans="1:26" ht="12.75" customHeight="1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 spans="1:26" ht="12.75" customHeight="1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 spans="1:26" ht="12.75" customHeight="1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 spans="1:26" ht="12.75" customHeight="1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 spans="1:26" ht="12.75" customHeight="1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 spans="1:26" ht="12.75" customHeight="1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 spans="1:26" ht="12.75" customHeight="1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 spans="1:26" ht="12.75" customHeight="1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 spans="1:26" ht="12.75" customHeight="1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 spans="1:26" ht="12.75" customHeight="1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 spans="1:26" ht="12.75" customHeight="1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 spans="1:26" ht="12.75" customHeight="1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 spans="1:26" ht="12.75" customHeight="1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 spans="1:26" ht="12.75" customHeight="1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 spans="1:26" ht="12.75" customHeight="1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 spans="1:26" ht="12.75" customHeight="1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 spans="1:26" ht="12.75" customHeight="1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 spans="1:26" ht="12.75" customHeight="1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 spans="1:26" ht="12.75" customHeight="1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 spans="1:26" ht="12.75" customHeight="1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 spans="1:26" ht="12.75" customHeight="1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 spans="1:26" ht="12.75" customHeight="1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 spans="1:26" ht="12.75" customHeight="1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 spans="1:26" ht="12.75" customHeight="1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 spans="1:26" ht="12.75" customHeight="1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 spans="1:26" ht="12.75" customHeight="1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 spans="1:26" ht="12.75" customHeight="1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 spans="1:26" ht="12.75" customHeight="1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 spans="1:26" ht="12.75" customHeight="1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 spans="1:26" ht="12.75" customHeight="1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 spans="1:26" ht="12.75" customHeight="1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 spans="1:26" ht="12.75" customHeight="1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 spans="1:26" ht="12.75" customHeight="1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 spans="1:26" ht="12.75" customHeight="1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 spans="1:26" ht="12.75" customHeight="1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 spans="1:26" ht="12.75" customHeight="1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 spans="1:26" ht="12.75" customHeight="1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 spans="1:26" ht="12.75" customHeight="1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 spans="1:26" ht="12.75" customHeight="1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 spans="1:26" ht="12.75" customHeight="1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 spans="1:26" ht="12.75" customHeight="1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 spans="1:26" ht="12.75" customHeight="1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 spans="1:26" ht="12.75" customHeight="1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 spans="1:26" ht="12.75" customHeight="1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 spans="1:26" ht="12.75" customHeight="1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 spans="1:26" ht="12.75" customHeight="1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 spans="1:26" ht="12.75" customHeight="1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 spans="1:26" ht="12.75" customHeight="1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 spans="1:26" ht="12.75" customHeight="1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 spans="1:26" ht="12.75" customHeight="1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 spans="1:26" ht="12.75" customHeight="1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 spans="1:26" ht="12.75" customHeight="1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 spans="1:26" ht="12.75" customHeight="1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 spans="1:26" ht="12.75" customHeight="1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 spans="1:26" ht="12.75" customHeight="1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 spans="1:26" ht="12.75" customHeight="1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 spans="1:26" ht="12.75" customHeight="1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 spans="1:26" ht="12.75" customHeight="1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 spans="1:26" ht="12.75" customHeight="1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 spans="1:26" ht="12.75" customHeight="1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 spans="1:26" ht="12.75" customHeight="1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 spans="1:26" ht="12.75" customHeight="1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 spans="1:26" ht="12.75" customHeight="1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 spans="1:26" ht="12.75" customHeight="1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 spans="1:26" ht="12.75" customHeight="1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 spans="1:26" ht="12.75" customHeight="1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 spans="1:26" ht="12.75" customHeight="1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 spans="1:26" ht="12.75" customHeight="1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 spans="1:26" ht="12.75" customHeight="1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 spans="1:26" ht="12.75" customHeight="1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 spans="1:26" ht="12.75" customHeight="1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 spans="1:26" ht="12.75" customHeight="1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 spans="1:26" ht="12.75" customHeight="1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 spans="1:26" ht="12.75" customHeight="1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 spans="1:26" ht="12.75" customHeight="1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 spans="1:26" ht="12.75" customHeight="1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 spans="1:26" ht="12.75" customHeight="1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 spans="1:26" ht="12.75" customHeight="1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 spans="1:26" ht="12.75" customHeight="1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 spans="1:26" ht="12.75" customHeight="1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 spans="1:26" ht="12.75" customHeight="1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 spans="1:26" ht="12.75" customHeight="1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 spans="1:26" ht="12.75" customHeight="1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 spans="1:26" ht="12.75" customHeight="1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 spans="1:26" ht="12.75" customHeight="1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 spans="1:26" ht="12.75" customHeight="1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 spans="1:26" ht="12.75" customHeight="1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 spans="1:26" ht="12.75" customHeight="1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 spans="1:26" ht="12.75" customHeight="1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 spans="1:26" ht="12.75" customHeight="1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 spans="1:26" ht="12.75" customHeight="1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 spans="1:26" ht="12.75" customHeight="1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 spans="1:26" ht="12.75" customHeight="1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 spans="1:26" ht="12.75" customHeight="1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 spans="1:26" ht="12.75" customHeight="1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 spans="1:26" ht="12.75" customHeight="1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 spans="1:26" ht="12.75" customHeight="1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 spans="1:26" ht="12.75" customHeight="1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 spans="1:26" ht="12.75" customHeight="1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 spans="1:26" ht="12.75" customHeight="1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 spans="1:26" ht="12.75" customHeight="1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 spans="1:26" ht="12.75" customHeight="1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 spans="1:26" ht="12.75" customHeight="1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 spans="1:26" ht="12.75" customHeight="1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 spans="1:26" ht="12.75" customHeight="1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 spans="1:26" ht="12.75" customHeight="1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 spans="1:26" ht="12.75" customHeight="1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 spans="1:26" ht="12.75" customHeight="1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 spans="1:26" ht="12.75" customHeight="1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 spans="1:26" ht="12.75" customHeight="1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 spans="1:26" ht="12.75" customHeight="1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 spans="1:26" ht="12.75" customHeight="1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 spans="1:26" ht="12.75" customHeight="1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 spans="1:26" ht="12.75" customHeight="1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 spans="1:26" ht="12.75" customHeight="1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 spans="1:26" ht="12.75" customHeight="1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 spans="1:26" ht="12.75" customHeight="1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 spans="1:26" ht="12.75" customHeight="1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 spans="1:26" ht="12.75" customHeight="1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 spans="1:26" ht="12.75" customHeight="1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 spans="1:26" ht="12.75" customHeight="1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 spans="1:26" ht="12.75" customHeight="1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 spans="1:26" ht="12.75" customHeight="1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 spans="1:26" ht="12.75" customHeight="1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 spans="1:26" ht="12.75" customHeight="1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 spans="1:26" ht="12.75" customHeight="1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 spans="1:26" ht="12.75" customHeight="1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 spans="1:26" ht="12.75" customHeight="1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 spans="1:26" ht="12.75" customHeight="1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 spans="1:26" ht="12.75" customHeight="1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 spans="1:26" ht="12.75" customHeight="1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 spans="1:26" ht="12.75" customHeight="1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 spans="1:26" ht="12.75" customHeight="1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 spans="1:26" ht="12.75" customHeight="1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 spans="1:26" ht="12.75" customHeight="1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 spans="1:26" ht="12.75" customHeight="1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 spans="1:26" ht="12.75" customHeight="1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 spans="1:26" ht="12.75" customHeight="1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 spans="1:26" ht="12.75" customHeight="1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 spans="1:26" ht="12.75" customHeight="1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 spans="1:26" ht="12.75" customHeight="1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 spans="1:26" ht="12.75" customHeight="1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 spans="1:26" ht="12.75" customHeight="1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 spans="1:26" ht="12.75" customHeight="1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 spans="1:26" ht="12.75" customHeight="1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 spans="1:26" ht="12.75" customHeight="1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 spans="1:26" ht="12.75" customHeight="1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 spans="1:26" ht="12.75" customHeight="1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 spans="1:26" ht="12.75" customHeight="1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 spans="1:26" ht="12.75" customHeight="1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 spans="1:26" ht="12.75" customHeight="1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 spans="1:26" ht="12.75" customHeight="1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 spans="1:26" ht="12.75" customHeight="1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 spans="1:26" ht="12.75" customHeight="1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 spans="1:26" ht="12.75" customHeight="1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 spans="1:26" ht="12.75" customHeight="1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 spans="1:26" ht="12.75" customHeight="1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 spans="1:26" ht="12.75" customHeight="1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 spans="1:26" ht="12.75" customHeight="1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 spans="1:26" ht="12.75" customHeight="1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 spans="1:26" ht="12.75" customHeight="1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 spans="1:26" ht="12.75" customHeight="1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 spans="1:26" ht="12.75" customHeight="1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 spans="1:26" ht="12.75" customHeight="1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 spans="1:26" ht="12.75" customHeight="1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 spans="1:26" ht="12.75" customHeight="1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 spans="1:26" ht="12.75" customHeight="1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 spans="1:26" ht="12.75" customHeight="1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 spans="1:26" ht="12.75" customHeight="1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 spans="1:26" ht="12.75" customHeight="1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 spans="1:26" ht="12.75" customHeight="1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 spans="1:26" ht="12.75" customHeight="1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 spans="1:26" ht="12.75" customHeight="1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 spans="1:26" ht="12.75" customHeight="1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 spans="1:26" ht="12.75" customHeight="1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 spans="1:26" ht="12.75" customHeight="1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 spans="1:26" ht="12.75" customHeight="1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 spans="1:26" ht="12.75" customHeight="1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 spans="1:26" ht="12.75" customHeight="1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 spans="1:26" ht="12.75" customHeight="1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 spans="1:26" ht="12.75" customHeight="1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 spans="1:26" ht="12.75" customHeight="1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 spans="1:26" ht="12.75" customHeight="1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 spans="1:26" ht="12.75" customHeight="1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 spans="1:26" ht="12.75" customHeight="1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 spans="1:26" ht="12.75" customHeight="1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 spans="1:26" ht="12.75" customHeight="1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 spans="1:26" ht="12.75" customHeight="1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 spans="1:26" ht="12.75" customHeight="1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 spans="1:26" ht="12.75" customHeight="1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 spans="1:26" ht="12.75" customHeight="1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 spans="1:26" ht="12.75" customHeight="1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 spans="1:26" ht="12.75" customHeight="1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 spans="1:26" ht="12.75" customHeight="1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 spans="1:26" ht="12.75" customHeight="1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 spans="1:26" ht="12.75" customHeight="1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 spans="1:26" ht="12.75" customHeight="1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 spans="1:26" ht="12.75" customHeight="1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 spans="1:26" ht="12.75" customHeight="1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 spans="1:26" ht="12.75" customHeight="1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 spans="1:26" ht="12.75" customHeight="1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 spans="1:26" ht="12.75" customHeight="1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 spans="1:26" ht="12.75" customHeight="1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 spans="1:26" ht="12.75" customHeight="1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 spans="1:26" ht="12.75" customHeight="1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 spans="1:26" ht="12.75" customHeight="1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 spans="1:26" ht="12.75" customHeight="1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 spans="1:26" ht="12.75" customHeight="1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 spans="1:26" ht="12.75" customHeight="1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 spans="1:26" ht="12.75" customHeight="1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 spans="1:26" ht="12.75" customHeight="1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 spans="1:26" ht="12.75" customHeight="1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 spans="1:26" ht="12.75" customHeight="1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 spans="1:26" ht="12.75" customHeight="1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 spans="1:26" ht="12.75" customHeight="1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 spans="1:26" ht="12.75" customHeight="1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 spans="1:26" ht="12.75" customHeight="1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 spans="1:26" ht="12.75" customHeight="1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 spans="1:26" ht="12.75" customHeight="1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 spans="1:26" ht="12.75" customHeight="1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 spans="1:26" ht="12.75" customHeight="1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 spans="1:26" ht="12.75" customHeight="1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 spans="1:26" ht="12.75" customHeight="1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 spans="1:26" ht="12.75" customHeight="1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 spans="1:26" ht="12.75" customHeight="1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 spans="1:26" ht="12.75" customHeight="1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 spans="1:26" ht="12.75" customHeight="1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 spans="1:26" ht="12.75" customHeight="1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 spans="1:26" ht="12.75" customHeight="1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 spans="1:26" ht="12.75" customHeight="1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 spans="1:26" ht="12.75" customHeight="1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 spans="1:26" ht="12.75" customHeight="1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 spans="1:26" ht="12.75" customHeight="1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 spans="1:26" ht="12.75" customHeight="1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 spans="1:26" ht="12.75" customHeight="1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 spans="1:26" ht="12.75" customHeight="1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 spans="1:26" ht="12.75" customHeight="1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 spans="1:26" ht="12.75" customHeight="1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 spans="1:26" ht="12.75" customHeight="1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 spans="1:26" ht="12.75" customHeight="1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 spans="1:26" ht="12.75" customHeight="1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 spans="1:26" ht="12.75" customHeight="1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 spans="1:26" ht="12.75" customHeight="1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 spans="1:26" ht="12.75" customHeight="1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 spans="1:26" ht="12.75" customHeight="1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 spans="1:26" ht="12.75" customHeight="1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 spans="1:26" ht="12.75" customHeight="1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 spans="1:26" ht="12.75" customHeight="1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 spans="1:26" ht="12.75" customHeight="1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 spans="1:26" ht="12.75" customHeight="1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 spans="1:26" ht="12.75" customHeight="1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 spans="1:26" ht="12.75" customHeight="1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 spans="1:26" ht="12.75" customHeight="1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 spans="1:26" ht="12.75" customHeight="1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 spans="1:26" ht="12.75" customHeight="1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 spans="1:26" ht="12.75" customHeight="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 spans="1:26" ht="12.75" customHeight="1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 spans="1:26" ht="12.75" customHeight="1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 spans="1:26" ht="12.75" customHeight="1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 spans="1:26" ht="12.75" customHeight="1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 spans="1:26" ht="12.75" customHeight="1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 spans="1:26" ht="12.75" customHeight="1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 spans="1:26" ht="12.75" customHeight="1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 spans="1:26" ht="12.75" customHeight="1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 spans="1:26" ht="12.75" customHeight="1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 spans="1:26" ht="12.75" customHeight="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 spans="1:26" ht="12.75" customHeight="1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 spans="1:26" ht="12.75" customHeight="1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 spans="1:26" ht="12.75" customHeight="1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 spans="1:26" ht="12.75" customHeight="1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 spans="1:26" ht="12.75" customHeight="1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 spans="1:26" ht="12.75" customHeight="1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 spans="1:26" ht="12.75" customHeight="1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 spans="1:26" ht="12.75" customHeight="1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 spans="1:26" ht="12.75" customHeight="1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 spans="1:26" ht="12.75" customHeight="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 spans="1:26" ht="12.75" customHeight="1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 spans="1:26" ht="12.75" customHeight="1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 spans="1:26" ht="12.75" customHeight="1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 spans="1:26" ht="12.75" customHeight="1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 spans="1:26" ht="12.75" customHeight="1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 spans="1:26" ht="12.75" customHeight="1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 spans="1:26" ht="12.75" customHeight="1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 spans="1:26" ht="12.75" customHeight="1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 spans="1:26" ht="12.75" customHeight="1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 spans="1:26" ht="12.75" customHeight="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 spans="1:26" ht="12.75" customHeight="1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 spans="1:26" ht="12.75" customHeight="1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 spans="1:26" ht="12.75" customHeight="1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 spans="1:26" ht="12.75" customHeight="1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 spans="1:26" ht="12.75" customHeight="1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 spans="1:26" ht="12.75" customHeight="1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 spans="1:26" ht="12.75" customHeight="1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 spans="1:26" ht="12.75" customHeight="1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 spans="1:26" ht="12.75" customHeight="1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 spans="1:26" ht="12.75" customHeight="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 spans="1:26" ht="12.75" customHeight="1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 spans="1:26" ht="12.75" customHeight="1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 spans="1:26" ht="12.75" customHeight="1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 spans="1:26" ht="12.75" customHeight="1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 spans="1:26" ht="12.75" customHeight="1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 spans="1:26" ht="12.75" customHeight="1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 spans="1:26" ht="12.75" customHeight="1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 spans="1:26" ht="12.75" customHeight="1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 spans="1:26" ht="12.75" customHeight="1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 spans="1:26" ht="12.75" customHeight="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 spans="1:26" ht="12.75" customHeight="1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 spans="1:26" ht="12.75" customHeight="1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 spans="1:26" ht="12.75" customHeight="1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 spans="1:26" ht="12.75" customHeight="1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 spans="1:26" ht="12.75" customHeight="1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 spans="1:26" ht="12.75" customHeight="1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 spans="1:26" ht="12.75" customHeight="1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 spans="1:26" ht="12.75" customHeight="1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 spans="1:26" ht="12.75" customHeight="1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 spans="1:26" ht="12.75" customHeight="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 spans="1:26" ht="12.75" customHeight="1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 spans="1:26" ht="12.75" customHeight="1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 spans="1:26" ht="12.75" customHeight="1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 spans="1:26" ht="12.75" customHeight="1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 spans="1:26" ht="12.75" customHeight="1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 spans="1:26" ht="12.75" customHeight="1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 spans="1:26" ht="12.75" customHeight="1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 spans="1:26" ht="12.75" customHeight="1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 spans="1:26" ht="12.75" customHeight="1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 spans="1:26" ht="12.75" customHeight="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 spans="1:26" ht="12.75" customHeight="1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 spans="1:26" ht="12.75" customHeight="1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 spans="1:26" ht="12.75" customHeight="1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 spans="1:26" ht="12.75" customHeight="1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 spans="1:26" ht="12.75" customHeight="1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 spans="1:26" ht="12.75" customHeight="1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 spans="1:26" ht="12.75" customHeight="1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 spans="1:26" ht="12.75" customHeight="1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 spans="1:26" ht="12.75" customHeight="1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 spans="1:26" ht="12.75" customHeight="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 spans="1:26" ht="12.75" customHeight="1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 spans="1:26" ht="12.75" customHeight="1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 spans="1:26" ht="12.75" customHeight="1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 spans="1:26" ht="12.75" customHeight="1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 spans="1:26" ht="12.75" customHeight="1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 spans="1:26" ht="12.75" customHeight="1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 spans="1:26" ht="12.75" customHeight="1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 spans="1:26" ht="12.75" customHeight="1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 spans="1:26" ht="12.75" customHeight="1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 spans="1:26" ht="12.75" customHeight="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 spans="1:26" ht="12.75" customHeight="1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 spans="1:26" ht="12.75" customHeight="1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 spans="1:26" ht="12.75" customHeight="1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 spans="1:26" ht="12.75" customHeight="1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 spans="1:26" ht="12.75" customHeight="1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 spans="1:26" ht="12.75" customHeight="1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 spans="1:26" ht="12.75" customHeight="1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 spans="1:26" ht="12.75" customHeight="1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 spans="1:26" ht="12.75" customHeight="1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 spans="1:26" ht="12.75" customHeight="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 spans="1:26" ht="12.75" customHeight="1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 spans="1:26" ht="12.75" customHeight="1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 spans="1:26" ht="12.75" customHeight="1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 spans="1:26" ht="12.75" customHeight="1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 spans="1:26" ht="12.75" customHeight="1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 spans="1:26" ht="12.75" customHeight="1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 spans="1:26" ht="12.75" customHeight="1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 spans="1:26" ht="12.75" customHeight="1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 spans="1:26" ht="12.75" customHeight="1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 spans="1:26" ht="12.75" customHeight="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 spans="1:26" ht="12.75" customHeight="1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 spans="1:26" ht="12.75" customHeight="1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 spans="1:26" ht="12.75" customHeight="1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 spans="1:26" ht="12.75" customHeight="1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 spans="1:26" ht="12.75" customHeight="1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 spans="1:26" ht="12.75" customHeight="1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 spans="1:26" ht="12.75" customHeight="1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 spans="1:26" ht="12.75" customHeight="1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 spans="1:26" ht="12.75" customHeight="1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 spans="1:26" ht="12.75" customHeight="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 spans="1:26" ht="12.75" customHeight="1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 spans="1:26" ht="12.75" customHeight="1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 spans="1:26" ht="12.75" customHeight="1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 spans="1:26" ht="12.75" customHeight="1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 spans="1:26" ht="12.75" customHeight="1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 spans="1:26" ht="12.75" customHeight="1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 spans="1:26" ht="12.75" customHeight="1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 spans="1:26" ht="12.75" customHeight="1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 spans="1:26" ht="12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 spans="1:26" ht="12.75" customHeight="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 spans="1:26" ht="12.75" customHeight="1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 spans="1:26" ht="12.75" customHeight="1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 spans="1:26" ht="12.75" customHeight="1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 spans="1:26" ht="12.75" customHeight="1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 spans="1:26" ht="12.75" customHeight="1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 spans="1:26" ht="12.75" customHeight="1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 spans="1:26" ht="12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 spans="1:26" ht="12.75" customHeight="1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 spans="1:26" ht="12.75" customHeight="1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 spans="1:26" ht="12.75" customHeight="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 spans="1:26" ht="12.75" customHeight="1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 spans="1:26" ht="12.75" customHeight="1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 spans="1:26" ht="12.75" customHeight="1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 spans="1:26" ht="12.75" customHeight="1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 spans="1:26" ht="12.75" customHeight="1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 spans="1:26" ht="12.75" customHeight="1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 spans="1:26" ht="12.75" customHeight="1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 spans="1:26" ht="12.75" customHeight="1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 spans="1:26" ht="12.75" customHeight="1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 spans="1:26" ht="12.75" customHeight="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 spans="1:26" ht="12.75" customHeight="1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 spans="1:26" ht="12.75" customHeight="1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 spans="1:26" ht="12.75" customHeight="1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 spans="1:26" ht="12.75" customHeight="1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 spans="1:26" ht="12.75" customHeight="1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 spans="1:26" ht="12.75" customHeight="1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 spans="1:26" ht="12.75" customHeight="1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 spans="1:26" ht="12.75" customHeight="1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 spans="1:26" ht="12.75" customHeight="1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 spans="1:26" ht="12.75" customHeight="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 spans="1:26" ht="12.75" customHeight="1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 spans="1:26" ht="12.75" customHeight="1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 spans="1:26" ht="12.75" customHeight="1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 spans="1:26" ht="12.75" customHeight="1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 spans="1:26" ht="12.75" customHeight="1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 spans="1:26" ht="12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 spans="1:26" ht="12.75" customHeight="1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 spans="1:26" ht="12.75" customHeight="1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 spans="1:26" ht="12.75" customHeight="1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 spans="1:26" ht="12.75" customHeight="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 spans="1:26" ht="12.75" customHeight="1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 spans="1:26" ht="12.75" customHeight="1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 spans="1:26" ht="12.75" customHeight="1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 spans="1:26" ht="12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 spans="1:26" ht="12.75" customHeight="1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 spans="1:26" ht="12.75" customHeight="1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 spans="1:26" ht="12.75" customHeight="1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 spans="1:26" ht="12.75" customHeight="1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 spans="1:26" ht="12.75" customHeight="1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 spans="1:26" ht="12.75" customHeight="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 spans="1:26" ht="12.75" customHeight="1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 spans="1:26" ht="12.75" customHeight="1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 spans="1:26" ht="12.75" customHeight="1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 spans="1:26" ht="12.75" customHeight="1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 spans="1:26" ht="12.75" customHeight="1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 spans="1:26" ht="12.75" customHeight="1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 spans="1:26" ht="12.75" customHeight="1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 spans="1:26" ht="12.75" customHeight="1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 spans="1:26" ht="12.75" customHeight="1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 spans="1:26" ht="12.75" customHeight="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 spans="1:26" ht="12.75" customHeight="1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 spans="1:26" ht="12.75" customHeight="1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 spans="1:26" ht="12.75" customHeight="1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 spans="1:26" ht="12.75" customHeight="1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 spans="1:26" ht="12.75" customHeight="1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 spans="1:26" ht="12.75" customHeight="1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 spans="1:26" ht="12.75" customHeight="1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 spans="1:26" ht="12.75" customHeight="1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 spans="1:26" ht="12.75" customHeight="1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 spans="1:26" ht="12.75" customHeight="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 spans="1:26" ht="12.75" customHeight="1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 spans="1:26" ht="12.75" customHeight="1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 spans="1:26" ht="12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 spans="1:26" ht="12.75" customHeight="1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 spans="1:26" ht="12.75" customHeight="1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 spans="1:26" ht="12.75" customHeight="1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 spans="1:26" ht="12.75" customHeight="1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 spans="1:26" ht="12.75" customHeight="1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 spans="1:26" ht="12.75" customHeight="1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 spans="1:26" ht="12.75" customHeight="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 spans="1:26" ht="12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 spans="1:26" ht="12.75" customHeight="1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 spans="1:26" ht="12.75" customHeight="1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 spans="1:26" ht="12.75" customHeight="1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 spans="1:26" ht="12.75" customHeight="1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 spans="1:26" ht="12.75" customHeight="1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 spans="1:26" ht="12.75" customHeight="1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 spans="1:26" ht="12.75" customHeight="1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 spans="1:26" ht="12.75" customHeight="1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 spans="1:26" ht="12.75" customHeight="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 spans="1:26" ht="12.75" customHeight="1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 spans="1:26" ht="12.75" customHeight="1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 spans="1:26" ht="12.75" customHeight="1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 spans="1:26" ht="12.75" customHeight="1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 spans="1:26" ht="12.75" customHeight="1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 spans="1:26" ht="12.75" customHeight="1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 spans="1:26" ht="12.75" customHeight="1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 spans="1:26" ht="12.75" customHeight="1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 spans="1:26" ht="12.75" customHeight="1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 spans="1:26" ht="12.75" customHeight="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 spans="1:26" ht="12.75" customHeight="1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 spans="1:26" ht="12.75" customHeight="1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 spans="1:26" ht="12.75" customHeight="1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 spans="1:26" ht="12.75" customHeight="1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 spans="1:26" ht="12.75" customHeight="1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 spans="1:26" ht="12.75" customHeight="1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 spans="1:26" ht="12.75" customHeight="1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 spans="1:26" ht="12.75" customHeight="1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 spans="1:26" ht="12.75" customHeight="1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 spans="1:26" ht="12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 spans="1:26" ht="12.75" customHeight="1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 spans="1:26" ht="12.75" customHeight="1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 spans="1:26" ht="12.75" customHeight="1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 spans="1:26" ht="12.75" customHeight="1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 spans="1:26" ht="12.75" customHeight="1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 spans="1:26" ht="12.75" customHeight="1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 spans="1:26" ht="12.75" customHeight="1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 spans="1:26" ht="12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 spans="1:26" ht="12.75" customHeight="1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 spans="1:26" ht="12.75" customHeight="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 spans="1:26" ht="12.75" customHeight="1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 spans="1:26" ht="12.75" customHeight="1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 spans="1:26" ht="12.75" customHeight="1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 spans="1:26" ht="12.75" customHeight="1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 spans="1:26" ht="12.75" customHeight="1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 spans="1:26" ht="12.75" customHeight="1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 spans="1:26" ht="12.75" customHeight="1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 spans="1:26" ht="12.75" customHeight="1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 spans="1:26" ht="12.75" customHeight="1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 spans="1:26" ht="12.75" customHeight="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 spans="1:26" ht="12.75" customHeight="1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 spans="1:26" ht="12.75" customHeight="1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 spans="1:26" ht="12.75" customHeight="1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 spans="1:26" ht="12.75" customHeight="1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 spans="1:26" ht="12.75" customHeight="1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 spans="1:26" ht="12.75" customHeight="1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 spans="1:26" ht="12.75" customHeight="1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 spans="1:26" ht="12.75" customHeight="1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 spans="1:26" ht="12.75" customHeight="1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 spans="1:26" ht="12.75" customHeight="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 spans="1:26" ht="12.75" customHeight="1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 spans="1:26" ht="12.75" customHeight="1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 spans="1:26" ht="12.75" customHeight="1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 spans="1:26" ht="12.75" customHeight="1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 spans="1:26" ht="12.75" customHeight="1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 spans="1:26" ht="12.75" customHeight="1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 spans="1:26" ht="12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 spans="1:26" ht="12.75" customHeight="1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 spans="1:26" ht="12.75" customHeight="1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 spans="1:26" ht="12.75" customHeight="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 spans="1:26" ht="12.75" customHeight="1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 spans="1:26" ht="12.75" customHeight="1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 spans="1:26" ht="12.75" customHeight="1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 spans="1:26" ht="12.75" customHeight="1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 spans="1:26" ht="12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 spans="1:26" ht="12.75" customHeight="1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</sheetData>
  <mergeCells count="1">
    <mergeCell ref="B2:H2"/>
  </mergeCells>
  <phoneticPr fontId="3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8" customWidth="1"/>
    <col min="2" max="2" width="12" style="158" customWidth="1"/>
    <col min="3" max="3" width="16" style="158" customWidth="1"/>
    <col min="4" max="6" width="13" style="158" customWidth="1"/>
    <col min="7" max="7" width="10" style="158" customWidth="1"/>
    <col min="8" max="8" width="3" style="158" customWidth="1"/>
    <col min="9" max="12" width="12" style="158" customWidth="1"/>
    <col min="13" max="14" width="3" style="158" customWidth="1"/>
  </cols>
  <sheetData>
    <row r="1" spans="1:12" ht="32.1" customHeight="1">
      <c r="A1" s="281" t="s">
        <v>374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375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376</v>
      </c>
      <c r="C4" s="180"/>
      <c r="D4" s="272" t="s">
        <v>377</v>
      </c>
      <c r="E4" s="180"/>
      <c r="F4" s="272" t="s">
        <v>378</v>
      </c>
      <c r="G4" s="180"/>
      <c r="I4" s="272" t="s">
        <v>379</v>
      </c>
      <c r="J4" s="180"/>
      <c r="K4" s="272" t="s">
        <v>380</v>
      </c>
      <c r="L4" s="180"/>
    </row>
    <row r="5" spans="1:12" ht="21.95" customHeight="1">
      <c r="B5" s="282">
        <f>'2. 5기_예산목간'!D59</f>
        <v>41218091</v>
      </c>
      <c r="C5" s="277"/>
      <c r="D5" s="282">
        <f>SUM('3. 5기 수입지출장부'!E193:E211)</f>
        <v>7759860</v>
      </c>
      <c r="E5" s="277"/>
      <c r="F5" s="282">
        <f>LOOKUP(9.99E+307,Table_1[잔액])</f>
        <v>30544491</v>
      </c>
      <c r="G5" s="277"/>
      <c r="I5" s="276">
        <f>D5/B5</f>
        <v>0.18826344965854921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381</v>
      </c>
      <c r="B9" s="180"/>
      <c r="C9" s="180"/>
      <c r="D9" s="180"/>
      <c r="E9" s="180"/>
      <c r="F9" s="180"/>
      <c r="G9" s="180"/>
    </row>
    <row r="10" spans="1:12" ht="21.95" customHeight="1">
      <c r="B10" s="159" t="s">
        <v>301</v>
      </c>
      <c r="C10" s="159" t="s">
        <v>382</v>
      </c>
      <c r="D10" s="159" t="s">
        <v>383</v>
      </c>
      <c r="E10" s="159" t="s">
        <v>280</v>
      </c>
      <c r="F10" s="159" t="s">
        <v>7</v>
      </c>
      <c r="G10" s="159" t="s">
        <v>384</v>
      </c>
    </row>
    <row r="11" spans="1:12" ht="20.100000000000001" customHeight="1">
      <c r="B11" s="160" t="s">
        <v>49</v>
      </c>
      <c r="C11" s="161" t="s">
        <v>49</v>
      </c>
      <c r="D11" s="162">
        <f>'3. 5기 수입지출장부'!D193</f>
        <v>3300000</v>
      </c>
      <c r="E11" s="163">
        <f>'3. 5기 수입지출장부'!E193</f>
        <v>800000</v>
      </c>
      <c r="F11" s="164">
        <f>'3. 5기 수입지출장부'!F193</f>
        <v>2500000</v>
      </c>
      <c r="G11" s="165">
        <f t="shared" ref="G11:G29" si="0">IFERROR(E11/D11,0)</f>
        <v>0.24242424242424243</v>
      </c>
    </row>
    <row r="12" spans="1:12" ht="20.100000000000001" customHeight="1">
      <c r="B12" s="166" t="s">
        <v>265</v>
      </c>
      <c r="C12" s="167" t="s">
        <v>247</v>
      </c>
      <c r="D12" s="168">
        <f>'3. 5기 수입지출장부'!D194</f>
        <v>1927800</v>
      </c>
      <c r="E12" s="169">
        <f>'3. 5기 수입지출장부'!E194</f>
        <v>0</v>
      </c>
      <c r="F12" s="170">
        <f>'3. 5기 수입지출장부'!F194</f>
        <v>1927800</v>
      </c>
      <c r="G12" s="171">
        <f t="shared" si="0"/>
        <v>0</v>
      </c>
    </row>
    <row r="13" spans="1:12" ht="20.100000000000001" customHeight="1">
      <c r="B13" s="160" t="s">
        <v>265</v>
      </c>
      <c r="C13" s="161" t="s">
        <v>104</v>
      </c>
      <c r="D13" s="162">
        <f>'3. 5기 수입지출장부'!D195</f>
        <v>540000</v>
      </c>
      <c r="E13" s="163">
        <f>'3. 5기 수입지출장부'!E195</f>
        <v>166000</v>
      </c>
      <c r="F13" s="164">
        <f>'3. 5기 수입지출장부'!F195</f>
        <v>374000</v>
      </c>
      <c r="G13" s="165">
        <f t="shared" si="0"/>
        <v>0.30740740740740741</v>
      </c>
    </row>
    <row r="14" spans="1:12" ht="20.100000000000001" customHeight="1">
      <c r="B14" s="166" t="s">
        <v>265</v>
      </c>
      <c r="C14" s="167" t="s">
        <v>255</v>
      </c>
      <c r="D14" s="168">
        <f>'3. 5기 수입지출장부'!D196</f>
        <v>1000000</v>
      </c>
      <c r="E14" s="169">
        <f>'3. 5기 수입지출장부'!E196</f>
        <v>0</v>
      </c>
      <c r="F14" s="170">
        <f>'3. 5기 수입지출장부'!F196</f>
        <v>1000000</v>
      </c>
      <c r="G14" s="171">
        <f t="shared" si="0"/>
        <v>0</v>
      </c>
    </row>
    <row r="15" spans="1:12" ht="20.100000000000001" customHeight="1">
      <c r="B15" s="160" t="s">
        <v>265</v>
      </c>
      <c r="C15" s="161" t="s">
        <v>244</v>
      </c>
      <c r="D15" s="162">
        <f>'3. 5기 수입지출장부'!D197</f>
        <v>400000</v>
      </c>
      <c r="E15" s="163">
        <f>'3. 5기 수입지출장부'!E197</f>
        <v>376000</v>
      </c>
      <c r="F15" s="164">
        <f>'3. 5기 수입지출장부'!F197</f>
        <v>24000</v>
      </c>
      <c r="G15" s="165">
        <f t="shared" si="0"/>
        <v>0.94</v>
      </c>
    </row>
    <row r="16" spans="1:12" ht="20.100000000000001" customHeight="1">
      <c r="B16" s="166" t="s">
        <v>265</v>
      </c>
      <c r="C16" s="167" t="s">
        <v>223</v>
      </c>
      <c r="D16" s="168">
        <f>'3. 5기 수입지출장부'!D198</f>
        <v>200000</v>
      </c>
      <c r="E16" s="169">
        <f>'3. 5기 수입지출장부'!E198</f>
        <v>135000</v>
      </c>
      <c r="F16" s="170">
        <f>'3. 5기 수입지출장부'!F198</f>
        <v>65000</v>
      </c>
      <c r="G16" s="171">
        <f t="shared" si="0"/>
        <v>0.67500000000000004</v>
      </c>
    </row>
    <row r="17" spans="1:12" ht="20.100000000000001" customHeight="1">
      <c r="B17" s="160" t="s">
        <v>265</v>
      </c>
      <c r="C17" s="161" t="s">
        <v>243</v>
      </c>
      <c r="D17" s="162">
        <f>'3. 5기 수입지출장부'!D199</f>
        <v>200000</v>
      </c>
      <c r="E17" s="163">
        <f>'3. 5기 수입지출장부'!E199</f>
        <v>0</v>
      </c>
      <c r="F17" s="164">
        <f>'3. 5기 수입지출장부'!F199</f>
        <v>200000</v>
      </c>
      <c r="G17" s="165">
        <f t="shared" si="0"/>
        <v>0</v>
      </c>
    </row>
    <row r="18" spans="1:12" ht="20.100000000000001" customHeight="1">
      <c r="B18" s="166" t="s">
        <v>265</v>
      </c>
      <c r="C18" s="167" t="s">
        <v>220</v>
      </c>
      <c r="D18" s="168">
        <f>'3. 5기 수입지출장부'!D200</f>
        <v>200000</v>
      </c>
      <c r="E18" s="169">
        <f>'3. 5기 수입지출장부'!E200</f>
        <v>135000</v>
      </c>
      <c r="F18" s="170">
        <f>'3. 5기 수입지출장부'!F200</f>
        <v>65000</v>
      </c>
      <c r="G18" s="171">
        <f t="shared" si="0"/>
        <v>0.67500000000000004</v>
      </c>
    </row>
    <row r="19" spans="1:12" ht="20.100000000000001" customHeight="1">
      <c r="B19" s="160" t="s">
        <v>265</v>
      </c>
      <c r="C19" s="161" t="s">
        <v>257</v>
      </c>
      <c r="D19" s="162">
        <f>'3. 5기 수입지출장부'!D201</f>
        <v>0</v>
      </c>
      <c r="E19" s="163">
        <f>'3. 5기 수입지출장부'!E201</f>
        <v>0</v>
      </c>
      <c r="F19" s="164">
        <f>'3. 5기 수입지출장부'!F201</f>
        <v>0</v>
      </c>
      <c r="G19" s="165">
        <f t="shared" si="0"/>
        <v>0</v>
      </c>
    </row>
    <row r="20" spans="1:12" ht="20.100000000000001" customHeight="1">
      <c r="B20" s="166" t="s">
        <v>269</v>
      </c>
      <c r="C20" s="167" t="s">
        <v>59</v>
      </c>
      <c r="D20" s="168">
        <f>'3. 5기 수입지출장부'!D202</f>
        <v>3600000</v>
      </c>
      <c r="E20" s="169">
        <f>'3. 5기 수입지출장부'!E202</f>
        <v>3025360</v>
      </c>
      <c r="F20" s="170">
        <f>'3. 5기 수입지출장부'!F202</f>
        <v>574640</v>
      </c>
      <c r="G20" s="171">
        <f t="shared" si="0"/>
        <v>0.84037777777777778</v>
      </c>
    </row>
    <row r="21" spans="1:12" ht="20.100000000000001" customHeight="1">
      <c r="B21" s="160" t="s">
        <v>269</v>
      </c>
      <c r="C21" s="161" t="s">
        <v>56</v>
      </c>
      <c r="D21" s="162">
        <f>'3. 5기 수입지출장부'!D203</f>
        <v>8000000</v>
      </c>
      <c r="E21" s="163">
        <f>'3. 5기 수입지출장부'!E203</f>
        <v>3122500</v>
      </c>
      <c r="F21" s="164">
        <f>'3. 5기 수입지출장부'!F203</f>
        <v>4877500</v>
      </c>
      <c r="G21" s="165">
        <f t="shared" si="0"/>
        <v>0.39031250000000001</v>
      </c>
    </row>
    <row r="22" spans="1:12" ht="20.100000000000001" customHeight="1">
      <c r="B22" s="166" t="s">
        <v>269</v>
      </c>
      <c r="C22" s="167" t="s">
        <v>259</v>
      </c>
      <c r="D22" s="168">
        <f>'3. 5기 수입지출장부'!D204</f>
        <v>300000</v>
      </c>
      <c r="E22" s="169">
        <f>'3. 5기 수입지출장부'!E204</f>
        <v>0</v>
      </c>
      <c r="F22" s="170">
        <f>'3. 5기 수입지출장부'!F204</f>
        <v>300000</v>
      </c>
      <c r="G22" s="171">
        <f t="shared" si="0"/>
        <v>0</v>
      </c>
    </row>
    <row r="23" spans="1:12" ht="20.100000000000001" customHeight="1">
      <c r="B23" s="160" t="s">
        <v>269</v>
      </c>
      <c r="C23" s="161" t="s">
        <v>261</v>
      </c>
      <c r="D23" s="162">
        <f>'3. 5기 수입지출장부'!D205</f>
        <v>4000000</v>
      </c>
      <c r="E23" s="163">
        <f>'3. 5기 수입지출장부'!E205</f>
        <v>0</v>
      </c>
      <c r="F23" s="164">
        <f>'3. 5기 수입지출장부'!F205</f>
        <v>4000000</v>
      </c>
      <c r="G23" s="165">
        <f t="shared" si="0"/>
        <v>0</v>
      </c>
    </row>
    <row r="24" spans="1:12" ht="20.100000000000001" customHeight="1">
      <c r="B24" s="166" t="s">
        <v>269</v>
      </c>
      <c r="C24" s="167" t="s">
        <v>253</v>
      </c>
      <c r="D24" s="168">
        <f>'3. 5기 수입지출장부'!D206</f>
        <v>2300000</v>
      </c>
      <c r="E24" s="169">
        <f>'3. 5기 수입지출장부'!E206</f>
        <v>0</v>
      </c>
      <c r="F24" s="170">
        <f>'3. 5기 수입지출장부'!F206</f>
        <v>2300000</v>
      </c>
      <c r="G24" s="171">
        <f t="shared" si="0"/>
        <v>0</v>
      </c>
    </row>
    <row r="25" spans="1:12" ht="20.100000000000001" customHeight="1">
      <c r="B25" s="160" t="s">
        <v>269</v>
      </c>
      <c r="C25" s="161" t="s">
        <v>256</v>
      </c>
      <c r="D25" s="162">
        <f>'3. 5기 수입지출장부'!D207</f>
        <v>0</v>
      </c>
      <c r="E25" s="163">
        <f>'3. 5기 수입지출장부'!E207</f>
        <v>0</v>
      </c>
      <c r="F25" s="164">
        <f>'3. 5기 수입지출장부'!F207</f>
        <v>0</v>
      </c>
      <c r="G25" s="165">
        <f t="shared" si="0"/>
        <v>0</v>
      </c>
    </row>
    <row r="26" spans="1:12" ht="20.100000000000001" customHeight="1">
      <c r="B26" s="166" t="s">
        <v>269</v>
      </c>
      <c r="C26" s="167" t="s">
        <v>249</v>
      </c>
      <c r="D26" s="168">
        <f>'3. 5기 수입지출장부'!D208</f>
        <v>600000</v>
      </c>
      <c r="E26" s="169">
        <f>'3. 5기 수입지출장부'!E208</f>
        <v>0</v>
      </c>
      <c r="F26" s="170">
        <f>'3. 5기 수입지출장부'!F208</f>
        <v>600000</v>
      </c>
      <c r="G26" s="171">
        <f t="shared" si="0"/>
        <v>0</v>
      </c>
    </row>
    <row r="27" spans="1:12" ht="20.100000000000001" customHeight="1">
      <c r="B27" s="160" t="s">
        <v>269</v>
      </c>
      <c r="C27" s="161" t="s">
        <v>248</v>
      </c>
      <c r="D27" s="162">
        <f>'3. 5기 수입지출장부'!D209</f>
        <v>300000</v>
      </c>
      <c r="E27" s="163">
        <f>'3. 5기 수입지출장부'!E209</f>
        <v>0</v>
      </c>
      <c r="F27" s="164">
        <f>'3. 5기 수입지출장부'!F209</f>
        <v>300000</v>
      </c>
      <c r="G27" s="165">
        <f t="shared" si="0"/>
        <v>0</v>
      </c>
    </row>
    <row r="28" spans="1:12" ht="20.100000000000001" customHeight="1">
      <c r="B28" s="166" t="s">
        <v>269</v>
      </c>
      <c r="C28" s="167" t="s">
        <v>252</v>
      </c>
      <c r="D28" s="168">
        <f>'3. 5기 수입지출장부'!D210</f>
        <v>500000</v>
      </c>
      <c r="E28" s="169">
        <f>'3. 5기 수입지출장부'!E210</f>
        <v>0</v>
      </c>
      <c r="F28" s="170">
        <f>'3. 5기 수입지출장부'!F210</f>
        <v>500000</v>
      </c>
      <c r="G28" s="171">
        <f t="shared" si="0"/>
        <v>0</v>
      </c>
    </row>
    <row r="29" spans="1:12" ht="20.100000000000001" customHeight="1">
      <c r="B29" s="160" t="s">
        <v>269</v>
      </c>
      <c r="C29" s="161" t="s">
        <v>242</v>
      </c>
      <c r="D29" s="162">
        <f>'3. 5기 수입지출장부'!D211</f>
        <v>400000</v>
      </c>
      <c r="E29" s="163">
        <f>'3. 5기 수입지출장부'!E211</f>
        <v>0</v>
      </c>
      <c r="F29" s="164">
        <f>'3. 5기 수입지출장부'!F211</f>
        <v>400000</v>
      </c>
      <c r="G29" s="165">
        <f t="shared" si="0"/>
        <v>0</v>
      </c>
    </row>
    <row r="31" spans="1:12">
      <c r="A31" s="271" t="s">
        <v>385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4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2026-09-20T08:46:49Z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